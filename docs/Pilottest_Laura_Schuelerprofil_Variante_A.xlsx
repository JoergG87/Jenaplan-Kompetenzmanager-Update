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c3769c114e94cba" /></Relationships>
</file>

<file path=xl/workbook.xml><?xml version="1.0" encoding="utf-8"?>
<x:workbook xmlns:x="http://schemas.openxmlformats.org/spreadsheetml/2006/main">
  <x:sheets>
    <x:sheet xmlns:r="http://schemas.openxmlformats.org/officeDocument/2006/relationships" name="Start" sheetId="1" r:id="R27f5ff59806c49cd"/>
    <x:sheet xmlns:r="http://schemas.openxmlformats.org/officeDocument/2006/relationships" name="Testplan" sheetId="2" r:id="Rc0b9d342ad564402"/>
    <x:sheet xmlns:r="http://schemas.openxmlformats.org/officeDocument/2006/relationships" name="Testhinweise" sheetId="3" r:id="Ref58748e01bd4615"/>
    <x:sheet xmlns:r="http://schemas.openxmlformats.org/officeDocument/2006/relationships" name="Feedback" sheetId="4" r:id="R44b999bd78844f28"/>
    <x:sheet xmlns:r="http://schemas.openxmlformats.org/officeDocument/2006/relationships" name="Auswahllisten" sheetId="5" r:id="R213d4d709f8c41a7"/>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1"/>
      <x:color rgb="FF172B4D"/>
      <x:name val="Carlito"/>
    </x:font>
    <x:font>
      <x:b/>
      <x:sz val="16"/>
      <x:color rgb="FFFFFFFF"/>
      <x:name val="Carlito"/>
    </x:font>
    <x:font>
      <x:b/>
      <x:sz val="11"/>
      <x:color rgb="FF1F2D3D"/>
      <x:name val="Carlito"/>
    </x:font>
    <x:font>
      <x:b/>
      <x:sz val="11"/>
      <x:name val="Carlito"/>
    </x:font>
    <x:font>
      <x:sz val="11"/>
      <x:color rgb="FF52606D"/>
      <x:name val="Carlito"/>
    </x:font>
    <x:font>
      <x:sz val="11"/>
      <x:color rgb="FF6B4F1D"/>
      <x:name val="Carlito"/>
    </x:font>
  </x:fonts>
  <x:fills count="19">
    <x:fill>
      <x:patternFill patternType="none"/>
    </x:fill>
    <x:fill>
      <x:patternFill patternType="gray125"/>
    </x:fill>
    <x:fill>
      <x:patternFill patternType="solid">
        <x:fgColor rgb="FFC9DDF5"/>
      </x:patternFill>
    </x:fill>
    <x:fill>
      <x:patternFill patternType="solid">
        <x:fgColor rgb="FF1E5AA8"/>
      </x:patternFill>
    </x:fill>
    <x:fill>
      <x:patternFill patternType="solid">
        <x:fgColor rgb="FFDCE8F8"/>
      </x:patternFill>
    </x:fill>
    <x:fill>
      <x:patternFill patternType="solid">
        <x:fgColor rgb="FFEEF4FB"/>
      </x:patternFill>
    </x:fill>
    <x:fill>
      <x:patternFill patternType="solid">
        <x:fgColor rgb="FFF5F8FC"/>
      </x:patternFill>
    </x:fill>
    <x:fill>
      <x:patternFill patternType="solid">
        <x:fgColor rgb="FFFFF7E6"/>
      </x:patternFill>
    </x:fill>
    <x:fill>
      <x:patternFill patternType="solid">
        <x:fgColor rgb="FFEDF4FF"/>
      </x:patternFill>
    </x:fill>
    <x:fill>
      <x:patternFill patternType="solid">
        <x:fgColor rgb="FFF4F8FF"/>
      </x:patternFill>
    </x:fill>
    <x:fill>
      <x:patternFill patternType="solid">
        <x:fgColor rgb="FFF7F7FB"/>
      </x:patternFill>
    </x:fill>
    <x:fill>
      <x:patternFill patternType="solid">
        <x:fgColor rgb="FFF5F0FF"/>
      </x:patternFill>
    </x:fill>
    <x:fill>
      <x:patternFill patternType="solid">
        <x:fgColor rgb="FFEEE8FF"/>
      </x:patternFill>
    </x:fill>
    <x:fill>
      <x:patternFill patternType="solid">
        <x:fgColor rgb="FFFFF6E8"/>
      </x:patternFill>
    </x:fill>
    <x:fill>
      <x:patternFill patternType="solid">
        <x:fgColor rgb="FFEEF9F2"/>
      </x:patternFill>
    </x:fill>
    <x:fill>
      <x:patternFill patternType="solid">
        <x:fgColor rgb="FFF2F7F7"/>
      </x:patternFill>
    </x:fill>
    <x:fill>
      <x:patternFill patternType="solid">
        <x:fgColor rgb="FFFAFAFA"/>
      </x:patternFill>
    </x:fill>
    <x:fill>
      <x:patternFill patternType="solid">
        <x:fgColor rgb="FFFDEDED"/>
      </x:patternFill>
    </x:fill>
    <x:fill>
      <x:patternFill patternType="solid">
        <x:fgColor rgb="FFEEF4FB"/>
      </x:patternFill>
    </x:fill>
  </x:fills>
  <x:borders count="30">
    <x:border/>
    <x:border/>
    <x:border/>
    <x:border/>
    <x:border/>
    <x:border/>
    <x:border/>
    <x:border/>
    <x:border/>
    <x:border/>
    <x:border/>
    <x:border/>
    <x:border/>
    <x:border/>
    <x:border/>
    <x:border/>
    <x:border/>
    <x:border/>
    <x:border/>
    <x:border/>
    <x:border/>
    <x:border/>
    <x:border/>
    <x:border/>
    <x:border/>
    <x:border/>
    <x:border/>
    <x:border/>
    <x:border/>
    <x:border/>
  </x:borders>
  <x:cellStyleXfs count="1">
    <x:xf numFmtId="0" fontId="0" fillId="0" borderId="0"/>
  </x:cellStyleXfs>
  <x:cellXfs count="20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2" xfId="0" applyNumberFormat="1" applyFont="1" applyFill="1" applyBorder="1"/>
    <x:xf numFmtId="0" fontId="1" fillId="2" borderId="3" xfId="0" applyNumberFormat="1" applyFont="1" applyFill="1" applyBorder="1"/>
    <x:xf numFmtId="0" fontId="1" fillId="2" borderId="4" xfId="0" applyNumberFormat="1" applyFont="1" applyFill="1" applyBorder="1"/>
    <x:xf numFmtId="0" fontId="1" fillId="2" borderId="2" xfId="0" applyNumberFormat="1" applyFont="1" applyFill="1" applyBorder="1" applyAlignment="1">
      <x:alignment wrapText="1"/>
    </x:xf>
    <x:xf numFmtId="0" fontId="1" fillId="2" borderId="3" xfId="0" applyNumberFormat="1" applyFont="1" applyFill="1" applyBorder="1" applyAlignment="1">
      <x:alignment wrapText="1"/>
    </x:xf>
    <x:xf numFmtId="0" fontId="1" fillId="2" borderId="4" xfId="0" applyNumberFormat="1" applyFont="1" applyFill="1" applyBorder="1" applyAlignment="1">
      <x:alignment wrapText="1"/>
    </x:xf>
    <x:xf numFmtId="0" fontId="1" fillId="2" borderId="2" xfId="0" applyNumberFormat="1" applyFont="1" applyFill="1" applyBorder="1" applyAlignment="1">
      <x:alignment horizontal="center" wrapText="1"/>
    </x:xf>
    <x:xf numFmtId="0" fontId="1" fillId="2" borderId="3" xfId="0" applyNumberFormat="1" applyFont="1" applyFill="1" applyBorder="1" applyAlignment="1">
      <x:alignment horizontal="center" wrapText="1"/>
    </x:xf>
    <x:xf numFmtId="0" fontId="1" fillId="2" borderId="4" xfId="0" applyNumberFormat="1" applyFont="1" applyFill="1" applyBorder="1" applyAlignment="1">
      <x:alignment horizontal="center" wrapText="1"/>
    </x:xf>
    <x:xf numFmtId="0" fontId="1" fillId="2" borderId="2" xfId="0" applyNumberFormat="1" applyFont="1" applyFill="1" applyBorder="1" applyAlignment="1">
      <x:alignment horizontal="center" vertical="center" wrapText="1"/>
    </x:xf>
    <x:xf numFmtId="0" fontId="1" fillId="2" borderId="3" xfId="0" applyNumberFormat="1" applyFont="1" applyFill="1" applyBorder="1" applyAlignment="1">
      <x:alignment horizontal="center" vertical="center" wrapText="1"/>
    </x:xf>
    <x:xf numFmtId="0" fontId="1" fillId="2" borderId="4"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5" xfId="0" applyNumberFormat="1" applyFont="1" applyFill="1" applyBorder="1"/>
    <x:xf numFmtId="0" fontId="1" fillId="2" borderId="6" xfId="0" applyNumberFormat="1" applyFont="1" applyFill="1" applyBorder="1"/>
    <x:xf numFmtId="0" fontId="1" fillId="2" borderId="7" xfId="0" applyNumberFormat="1" applyFont="1" applyFill="1" applyBorder="1"/>
    <x:xf numFmtId="0" fontId="1" fillId="2" borderId="5" xfId="0" applyNumberFormat="1" applyFont="1" applyFill="1" applyBorder="1" applyAlignment="1">
      <x:alignment wrapText="1"/>
    </x:xf>
    <x:xf numFmtId="0" fontId="1" fillId="2" borderId="6" xfId="0" applyNumberFormat="1" applyFont="1" applyFill="1" applyBorder="1" applyAlignment="1">
      <x:alignment wrapText="1"/>
    </x:xf>
    <x:xf numFmtId="0" fontId="1" fillId="2" borderId="7" xfId="0" applyNumberFormat="1" applyFont="1" applyFill="1" applyBorder="1" applyAlignment="1">
      <x:alignment wrapText="1"/>
    </x:xf>
    <x:xf numFmtId="0" fontId="1" fillId="2" borderId="5" xfId="0" applyNumberFormat="1" applyFont="1" applyFill="1" applyBorder="1" applyAlignment="1">
      <x:alignment horizontal="center" wrapText="1"/>
    </x:xf>
    <x:xf numFmtId="0" fontId="1" fillId="2" borderId="6" xfId="0" applyNumberFormat="1" applyFont="1" applyFill="1" applyBorder="1" applyAlignment="1">
      <x:alignment horizontal="center" wrapText="1"/>
    </x:xf>
    <x:xf numFmtId="0" fontId="1" fillId="2" borderId="7" xfId="0" applyNumberFormat="1" applyFont="1" applyFill="1" applyBorder="1" applyAlignment="1">
      <x:alignment horizontal="center" wrapText="1"/>
    </x:xf>
    <x:xf numFmtId="0" fontId="1" fillId="2" borderId="5" xfId="0" applyNumberFormat="1" applyFont="1" applyFill="1" applyBorder="1" applyAlignment="1">
      <x:alignment horizontal="center" vertical="center" wrapText="1"/>
    </x:xf>
    <x:xf numFmtId="0" fontId="1" fillId="2" borderId="6" xfId="0" applyNumberFormat="1" applyFont="1" applyFill="1" applyBorder="1" applyAlignment="1">
      <x:alignment horizontal="center" vertical="center" wrapText="1"/>
    </x:xf>
    <x:xf numFmtId="0" fontId="1" fillId="2" borderId="7" xfId="0" applyNumberFormat="1" applyFont="1" applyFill="1" applyBorder="1" applyAlignment="1">
      <x:alignment horizontal="center"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left"/>
    </x:xf>
    <x:xf numFmtId="0" fontId="2" fillId="3" borderId="0" xfId="0" applyNumberFormat="1" applyFont="1" applyFill="1" applyBorder="1" applyAlignment="1">
      <x:alignment horizontal="left"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left"/>
    </x:xf>
    <x:xf numFmtId="0" fontId="2" fillId="3" borderId="1" xfId="0" applyNumberFormat="1" applyFont="1" applyFill="1" applyBorder="1" applyAlignment="1">
      <x:alignment horizontal="left"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left"/>
    </x:xf>
    <x:xf numFmtId="0" fontId="3" fillId="4" borderId="0" xfId="0" applyNumberFormat="1" applyFont="1" applyFill="1" applyBorder="1" applyAlignment="1">
      <x:alignment horizontal="left" vertical="center"/>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horizontal="left"/>
    </x:xf>
    <x:xf numFmtId="0" fontId="3" fillId="4" borderId="1" xfId="0" applyNumberFormat="1" applyFont="1" applyFill="1" applyBorder="1" applyAlignment="1">
      <x:alignment horizontal="left" vertical="center"/>
    </x:xf>
    <x:xf numFmtId="0" fontId="0" fillId="5" borderId="0" xfId="0" applyNumberFormat="1" applyFont="1" applyFill="1" applyBorder="1"/>
    <x:xf numFmtId="0" fontId="4" fillId="5" borderId="0" xfId="0" applyNumberFormat="1" applyFont="1" applyFill="1" applyBorder="1"/>
    <x:xf numFmtId="0" fontId="0" fillId="5" borderId="1" xfId="0" applyNumberFormat="1" applyFont="1" applyFill="1" applyBorder="1"/>
    <x:xf numFmtId="0" fontId="4" fillId="5" borderId="1" xfId="0" applyNumberFormat="1" applyFont="1" applyFill="1" applyBorder="1"/>
    <x:xf numFmtId="0" fontId="4" fillId="5" borderId="8" xfId="0" applyNumberFormat="1" applyFont="1" applyFill="1" applyBorder="1"/>
    <x:xf numFmtId="0" fontId="0" fillId="0" borderId="9" xfId="0" applyNumberFormat="1" applyFont="1" applyFill="1" applyBorder="1"/>
    <x:xf numFmtId="0" fontId="4" fillId="5" borderId="10" xfId="0" applyNumberFormat="1" applyFont="1" applyFill="1" applyBorder="1"/>
    <x:xf numFmtId="0" fontId="0" fillId="0" borderId="11" xfId="0" applyNumberFormat="1" applyFont="1" applyFill="1" applyBorder="1"/>
    <x:xf numFmtId="0" fontId="4" fillId="5" borderId="12" xfId="0" applyNumberFormat="1" applyFont="1" applyFill="1" applyBorder="1"/>
    <x:xf numFmtId="0" fontId="0" fillId="0" borderId="13" xfId="0" applyNumberFormat="1" applyFont="1" applyFill="1" applyBorder="1"/>
    <x:xf numFmtId="0" fontId="4" fillId="5" borderId="14" xfId="0" applyNumberFormat="1" applyFont="1" applyFill="1" applyBorder="1"/>
    <x:xf numFmtId="0" fontId="0" fillId="0" borderId="15" xfId="0" applyNumberFormat="1" applyFont="1" applyFill="1" applyBorder="1"/>
    <x:xf numFmtId="0" fontId="4" fillId="5" borderId="16" xfId="0" applyNumberFormat="1" applyFont="1" applyFill="1" applyBorder="1"/>
    <x:xf numFmtId="0" fontId="0" fillId="0" borderId="17" xfId="0" applyNumberFormat="1" applyFont="1" applyFill="1" applyBorder="1"/>
    <x:xf numFmtId="0" fontId="4" fillId="5" borderId="18" xfId="0" applyNumberFormat="1" applyFont="1" applyFill="1" applyBorder="1"/>
    <x:xf numFmtId="0" fontId="0" fillId="0" borderId="19"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19" xfId="0" applyNumberFormat="1" applyFont="1" applyFill="1" applyBorder="1" applyAlignment="1">
      <x:alignment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5" fillId="6" borderId="0" xfId="0" applyNumberFormat="1" applyFont="1" applyFill="1" applyBorder="1" applyAlignment="1">
      <x:alignment vertical="top" wrapText="1"/>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wrapText="1"/>
    </x:xf>
    <x:xf numFmtId="0" fontId="5" fillId="6" borderId="1" xfId="0" applyNumberFormat="1" applyFont="1" applyFill="1" applyBorder="1" applyAlignment="1">
      <x:alignment vertical="top" wrapText="1"/>
    </x:xf>
    <x:xf numFmtId="0" fontId="5" fillId="6" borderId="8" xfId="0" applyNumberFormat="1" applyFont="1" applyFill="1" applyBorder="1" applyAlignment="1">
      <x:alignment vertical="top" wrapText="1"/>
    </x:xf>
    <x:xf numFmtId="0" fontId="5" fillId="6" borderId="20" xfId="0" applyNumberFormat="1" applyFont="1" applyFill="1" applyBorder="1" applyAlignment="1">
      <x:alignment vertical="top" wrapText="1"/>
    </x:xf>
    <x:xf numFmtId="0" fontId="5" fillId="6" borderId="9" xfId="0" applyNumberFormat="1" applyFont="1" applyFill="1" applyBorder="1" applyAlignment="1">
      <x:alignment vertical="top" wrapText="1"/>
    </x:xf>
    <x:xf numFmtId="0" fontId="5" fillId="6" borderId="10" xfId="0" applyNumberFormat="1" applyFont="1" applyFill="1" applyBorder="1" applyAlignment="1">
      <x:alignment vertical="top" wrapText="1"/>
    </x:xf>
    <x:xf numFmtId="0" fontId="5" fillId="6" borderId="11" xfId="0" applyNumberFormat="1" applyFont="1" applyFill="1" applyBorder="1" applyAlignment="1">
      <x:alignment vertical="top" wrapText="1"/>
    </x:xf>
    <x:xf numFmtId="0" fontId="5" fillId="6" borderId="12" xfId="0" applyNumberFormat="1" applyFont="1" applyFill="1" applyBorder="1" applyAlignment="1">
      <x:alignment vertical="top" wrapText="1"/>
    </x:xf>
    <x:xf numFmtId="0" fontId="5" fillId="6" borderId="21" xfId="0" applyNumberFormat="1" applyFont="1" applyFill="1" applyBorder="1" applyAlignment="1">
      <x:alignment vertical="top" wrapText="1"/>
    </x:xf>
    <x:xf numFmtId="0" fontId="5" fillId="6" borderId="13"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16" xfId="0" applyNumberFormat="1" applyFont="1" applyFill="1" applyBorder="1" applyAlignment="1">
      <x:alignment vertical="top" wrapText="1"/>
    </x:xf>
    <x:xf numFmtId="0" fontId="5" fillId="6" borderId="17"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23"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0" xfId="0" applyNumberFormat="1" applyFont="1" applyFill="1" applyBorder="1" applyAlignment="1">
      <x:alignment wrapText="1"/>
    </x:xf>
    <x:xf numFmtId="0" fontId="6" fillId="7" borderId="0" xfId="0" applyNumberFormat="1" applyFont="1" applyFill="1" applyBorder="1" applyAlignment="1">
      <x:alignment vertical="top" wrapText="1"/>
    </x:xf>
    <x:xf numFmtId="0" fontId="0" fillId="7" borderId="1" xfId="0" applyNumberFormat="1" applyFont="1" applyFill="1" applyBorder="1"/>
    <x:xf numFmtId="0" fontId="6" fillId="7" borderId="1" xfId="0" applyNumberFormat="1" applyFont="1" applyFill="1" applyBorder="1"/>
    <x:xf numFmtId="0" fontId="6" fillId="7" borderId="1" xfId="0" applyNumberFormat="1" applyFont="1" applyFill="1" applyBorder="1" applyAlignment="1">
      <x:alignment wrapText="1"/>
    </x:xf>
    <x:xf numFmtId="0" fontId="6" fillId="7" borderId="1" xfId="0" applyNumberFormat="1" applyFont="1" applyFill="1" applyBorder="1" applyAlignment="1">
      <x:alignment vertical="top" wrapText="1"/>
    </x:xf>
    <x:xf numFmtId="0" fontId="4" fillId="5" borderId="24" xfId="0" applyNumberFormat="1" applyFont="1" applyFill="1" applyBorder="1"/>
    <x:xf numFmtId="0" fontId="4" fillId="5" borderId="25" xfId="0" applyNumberFormat="1" applyFont="1" applyFill="1" applyBorder="1"/>
    <x:xf numFmtId="0" fontId="4" fillId="5" borderId="26" xfId="0" applyNumberFormat="1" applyFont="1" applyFill="1" applyBorder="1"/>
    <x:xf numFmtId="0" fontId="4" fillId="5" borderId="27" xfId="0" applyNumberFormat="1" applyFont="1" applyFill="1" applyBorder="1"/>
    <x:xf numFmtId="0" fontId="4" fillId="5" borderId="28" xfId="0" applyNumberFormat="1" applyFont="1" applyFill="1" applyBorder="1"/>
    <x:xf numFmtId="0" fontId="4" fillId="5" borderId="29" xfId="0" applyNumberFormat="1" applyFont="1" applyFill="1" applyBorder="1"/>
    <x:xf numFmtId="0" fontId="4" fillId="0" borderId="0" xfId="0" applyNumberFormat="1" applyFont="1" applyFill="1" applyBorder="1"/>
    <x:xf numFmtId="0" fontId="4" fillId="0" borderId="24" xfId="0" applyNumberFormat="1" applyFont="1" applyFill="1" applyBorder="1"/>
    <x:xf numFmtId="0" fontId="4" fillId="0" borderId="25" xfId="0" applyNumberFormat="1" applyFont="1" applyFill="1" applyBorder="1"/>
    <x:xf numFmtId="0" fontId="4" fillId="0" borderId="26" xfId="0" applyNumberFormat="1" applyFont="1" applyFill="1" applyBorder="1"/>
    <x:xf numFmtId="0" fontId="4" fillId="0" borderId="24" xfId="0" applyNumberFormat="1" applyFont="1" applyFill="1" applyBorder="1" applyAlignment="1">
      <x:alignment horizontal="center"/>
    </x:xf>
    <x:xf numFmtId="0" fontId="4" fillId="0" borderId="25" xfId="0" applyNumberFormat="1" applyFont="1" applyFill="1" applyBorder="1" applyAlignment="1">
      <x:alignment horizontal="center"/>
    </x:xf>
    <x:xf numFmtId="0" fontId="4" fillId="0" borderId="26" xfId="0" applyNumberFormat="1" applyFont="1" applyFill="1" applyBorder="1" applyAlignment="1">
      <x:alignment horizontal="center"/>
    </x:xf>
    <x:xf numFmtId="0" fontId="4" fillId="0" borderId="1" xfId="0" applyNumberFormat="1" applyFont="1" applyFill="1" applyBorder="1"/>
    <x:xf numFmtId="0" fontId="4" fillId="0" borderId="27" xfId="0" applyNumberFormat="1" applyFont="1" applyFill="1" applyBorder="1"/>
    <x:xf numFmtId="0" fontId="4" fillId="0" borderId="28" xfId="0" applyNumberFormat="1" applyFont="1" applyFill="1" applyBorder="1"/>
    <x:xf numFmtId="0" fontId="4" fillId="0" borderId="29" xfId="0" applyNumberFormat="1" applyFont="1" applyFill="1" applyBorder="1"/>
    <x:xf numFmtId="0" fontId="4" fillId="0" borderId="27" xfId="0" applyNumberFormat="1" applyFont="1" applyFill="1" applyBorder="1" applyAlignment="1">
      <x:alignment horizontal="center"/>
    </x:xf>
    <x:xf numFmtId="0" fontId="4" fillId="0" borderId="28" xfId="0" applyNumberFormat="1" applyFont="1" applyFill="1" applyBorder="1" applyAlignment="1">
      <x:alignment horizontal="center"/>
    </x:xf>
    <x:xf numFmtId="0" fontId="4" fillId="0" borderId="29" xfId="0" applyNumberFormat="1" applyFont="1" applyFill="1" applyBorder="1" applyAlignment="1">
      <x:alignment horizontal="center"/>
    </x:xf>
    <x:xf numFmtId="0" fontId="0" fillId="8" borderId="8" xfId="0" applyNumberFormat="1" applyFont="1" applyFill="1" applyBorder="1" applyAlignment="1">
      <x:alignment wrapText="1"/>
    </x:xf>
    <x:xf numFmtId="0" fontId="0" fillId="8" borderId="20" xfId="0" applyNumberFormat="1" applyFont="1" applyFill="1" applyBorder="1" applyAlignment="1">
      <x:alignment wrapText="1"/>
    </x:xf>
    <x:xf numFmtId="0" fontId="0" fillId="8" borderId="9" xfId="0" applyNumberFormat="1" applyFont="1" applyFill="1" applyBorder="1" applyAlignment="1">
      <x:alignment wrapText="1"/>
    </x:xf>
    <x:xf numFmtId="0" fontId="0" fillId="8" borderId="14" xfId="0" applyNumberFormat="1" applyFont="1" applyFill="1" applyBorder="1" applyAlignment="1">
      <x:alignment wrapText="1"/>
    </x:xf>
    <x:xf numFmtId="0" fontId="0" fillId="8" borderId="22" xfId="0" applyNumberFormat="1" applyFont="1" applyFill="1" applyBorder="1" applyAlignment="1">
      <x:alignment wrapText="1"/>
    </x:xf>
    <x:xf numFmtId="0" fontId="0" fillId="8" borderId="15" xfId="0" applyNumberFormat="1" applyFont="1" applyFill="1" applyBorder="1" applyAlignment="1">
      <x:alignment wrapText="1"/>
    </x:xf>
    <x:xf numFmtId="0" fontId="0" fillId="8" borderId="10" xfId="0" applyNumberFormat="1" applyFont="1" applyFill="1" applyBorder="1" applyAlignment="1">
      <x:alignment wrapText="1"/>
    </x:xf>
    <x:xf numFmtId="0" fontId="0" fillId="8" borderId="0" xfId="0" applyNumberFormat="1" applyFont="1" applyFill="1" applyBorder="1" applyAlignment="1">
      <x:alignment wrapText="1"/>
    </x:xf>
    <x:xf numFmtId="0" fontId="0" fillId="8" borderId="11" xfId="0" applyNumberFormat="1" applyFont="1" applyFill="1" applyBorder="1" applyAlignment="1">
      <x:alignment wrapText="1"/>
    </x:xf>
    <x:xf numFmtId="0" fontId="0" fillId="8" borderId="16" xfId="0" applyNumberFormat="1" applyFont="1" applyFill="1" applyBorder="1" applyAlignment="1">
      <x:alignment wrapText="1"/>
    </x:xf>
    <x:xf numFmtId="0" fontId="0" fillId="8" borderId="1" xfId="0" applyNumberFormat="1" applyFont="1" applyFill="1" applyBorder="1" applyAlignment="1">
      <x:alignment wrapText="1"/>
    </x:xf>
    <x:xf numFmtId="0" fontId="0" fillId="8" borderId="17" xfId="0" applyNumberFormat="1" applyFont="1" applyFill="1" applyBorder="1" applyAlignment="1">
      <x:alignment wrapText="1"/>
    </x:xf>
    <x:xf numFmtId="0" fontId="0" fillId="9" borderId="10" xfId="0" applyNumberFormat="1" applyFont="1" applyFill="1" applyBorder="1" applyAlignment="1">
      <x:alignment wrapText="1"/>
    </x:xf>
    <x:xf numFmtId="0" fontId="0" fillId="9" borderId="0" xfId="0" applyNumberFormat="1" applyFont="1" applyFill="1" applyBorder="1" applyAlignment="1">
      <x:alignment wrapText="1"/>
    </x:xf>
    <x:xf numFmtId="0" fontId="0" fillId="9" borderId="11" xfId="0" applyNumberFormat="1" applyFont="1" applyFill="1" applyBorder="1" applyAlignment="1">
      <x:alignment wrapText="1"/>
    </x:xf>
    <x:xf numFmtId="0" fontId="0" fillId="9" borderId="16" xfId="0" applyNumberFormat="1" applyFont="1" applyFill="1" applyBorder="1" applyAlignment="1">
      <x:alignment wrapText="1"/>
    </x:xf>
    <x:xf numFmtId="0" fontId="0" fillId="9" borderId="1" xfId="0" applyNumberFormat="1" applyFont="1" applyFill="1" applyBorder="1" applyAlignment="1">
      <x:alignment wrapText="1"/>
    </x:xf>
    <x:xf numFmtId="0" fontId="0" fillId="9" borderId="17" xfId="0" applyNumberFormat="1" applyFont="1" applyFill="1" applyBorder="1" applyAlignment="1">
      <x:alignment wrapText="1"/>
    </x:xf>
    <x:xf numFmtId="0" fontId="0" fillId="10" borderId="10" xfId="0" applyNumberFormat="1" applyFont="1" applyFill="1" applyBorder="1" applyAlignment="1">
      <x:alignment wrapText="1"/>
    </x:xf>
    <x:xf numFmtId="0" fontId="0" fillId="10" borderId="0" xfId="0" applyNumberFormat="1" applyFont="1" applyFill="1" applyBorder="1" applyAlignment="1">
      <x:alignment wrapText="1"/>
    </x:xf>
    <x:xf numFmtId="0" fontId="0" fillId="10" borderId="11" xfId="0" applyNumberFormat="1" applyFont="1" applyFill="1" applyBorder="1" applyAlignment="1">
      <x:alignment wrapText="1"/>
    </x:xf>
    <x:xf numFmtId="0" fontId="0" fillId="10" borderId="16" xfId="0" applyNumberFormat="1" applyFont="1" applyFill="1" applyBorder="1" applyAlignment="1">
      <x:alignment wrapText="1"/>
    </x:xf>
    <x:xf numFmtId="0" fontId="0" fillId="10" borderId="1" xfId="0" applyNumberFormat="1" applyFont="1" applyFill="1" applyBorder="1" applyAlignment="1">
      <x:alignment wrapText="1"/>
    </x:xf>
    <x:xf numFmtId="0" fontId="0" fillId="10" borderId="17" xfId="0" applyNumberFormat="1" applyFont="1" applyFill="1" applyBorder="1" applyAlignment="1">
      <x:alignment wrapText="1"/>
    </x:xf>
    <x:xf numFmtId="0" fontId="0" fillId="11" borderId="10" xfId="0" applyNumberFormat="1" applyFont="1" applyFill="1" applyBorder="1" applyAlignment="1">
      <x:alignment wrapText="1"/>
    </x:xf>
    <x:xf numFmtId="0" fontId="0" fillId="11" borderId="0" xfId="0" applyNumberFormat="1" applyFont="1" applyFill="1" applyBorder="1" applyAlignment="1">
      <x:alignment wrapText="1"/>
    </x:xf>
    <x:xf numFmtId="0" fontId="0" fillId="11" borderId="11" xfId="0" applyNumberFormat="1" applyFont="1" applyFill="1" applyBorder="1" applyAlignment="1">
      <x:alignment wrapText="1"/>
    </x:xf>
    <x:xf numFmtId="0" fontId="0" fillId="11" borderId="16" xfId="0" applyNumberFormat="1" applyFont="1" applyFill="1" applyBorder="1" applyAlignment="1">
      <x:alignment wrapText="1"/>
    </x:xf>
    <x:xf numFmtId="0" fontId="0" fillId="11" borderId="1" xfId="0" applyNumberFormat="1" applyFont="1" applyFill="1" applyBorder="1" applyAlignment="1">
      <x:alignment wrapText="1"/>
    </x:xf>
    <x:xf numFmtId="0" fontId="0" fillId="11" borderId="17" xfId="0" applyNumberFormat="1" applyFont="1" applyFill="1" applyBorder="1" applyAlignment="1">
      <x:alignment wrapText="1"/>
    </x:xf>
    <x:xf numFmtId="0" fontId="0" fillId="12" borderId="10" xfId="0" applyNumberFormat="1" applyFont="1" applyFill="1" applyBorder="1" applyAlignment="1">
      <x:alignment wrapText="1"/>
    </x:xf>
    <x:xf numFmtId="0" fontId="0" fillId="12" borderId="0" xfId="0" applyNumberFormat="1" applyFont="1" applyFill="1" applyBorder="1" applyAlignment="1">
      <x:alignment wrapText="1"/>
    </x:xf>
    <x:xf numFmtId="0" fontId="0" fillId="12" borderId="11" xfId="0" applyNumberFormat="1" applyFont="1" applyFill="1" applyBorder="1" applyAlignment="1">
      <x:alignment wrapText="1"/>
    </x:xf>
    <x:xf numFmtId="0" fontId="0" fillId="12" borderId="16" xfId="0" applyNumberFormat="1" applyFont="1" applyFill="1" applyBorder="1" applyAlignment="1">
      <x:alignment wrapText="1"/>
    </x:xf>
    <x:xf numFmtId="0" fontId="0" fillId="12" borderId="1" xfId="0" applyNumberFormat="1" applyFont="1" applyFill="1" applyBorder="1" applyAlignment="1">
      <x:alignment wrapText="1"/>
    </x:xf>
    <x:xf numFmtId="0" fontId="0" fillId="12" borderId="17" xfId="0" applyNumberFormat="1" applyFont="1" applyFill="1" applyBorder="1" applyAlignment="1">
      <x:alignment wrapText="1"/>
    </x:xf>
    <x:xf numFmtId="0" fontId="0" fillId="13" borderId="10" xfId="0" applyNumberFormat="1" applyFont="1" applyFill="1" applyBorder="1" applyAlignment="1">
      <x:alignment wrapText="1"/>
    </x:xf>
    <x:xf numFmtId="0" fontId="0" fillId="13" borderId="0" xfId="0" applyNumberFormat="1" applyFont="1" applyFill="1" applyBorder="1" applyAlignment="1">
      <x:alignment wrapText="1"/>
    </x:xf>
    <x:xf numFmtId="0" fontId="0" fillId="13" borderId="11" xfId="0" applyNumberFormat="1" applyFont="1" applyFill="1" applyBorder="1" applyAlignment="1">
      <x:alignment wrapText="1"/>
    </x:xf>
    <x:xf numFmtId="0" fontId="0" fillId="13" borderId="16" xfId="0" applyNumberFormat="1" applyFont="1" applyFill="1" applyBorder="1" applyAlignment="1">
      <x:alignment wrapText="1"/>
    </x:xf>
    <x:xf numFmtId="0" fontId="0" fillId="13" borderId="1" xfId="0" applyNumberFormat="1" applyFont="1" applyFill="1" applyBorder="1" applyAlignment="1">
      <x:alignment wrapText="1"/>
    </x:xf>
    <x:xf numFmtId="0" fontId="0" fillId="13" borderId="17" xfId="0" applyNumberFormat="1" applyFont="1" applyFill="1" applyBorder="1" applyAlignment="1">
      <x:alignment wrapText="1"/>
    </x:xf>
    <x:xf numFmtId="0" fontId="0" fillId="14" borderId="10" xfId="0" applyNumberFormat="1" applyFont="1" applyFill="1" applyBorder="1" applyAlignment="1">
      <x:alignment wrapText="1"/>
    </x:xf>
    <x:xf numFmtId="0" fontId="0" fillId="14" borderId="0" xfId="0" applyNumberFormat="1" applyFont="1" applyFill="1" applyBorder="1" applyAlignment="1">
      <x:alignment wrapText="1"/>
    </x:xf>
    <x:xf numFmtId="0" fontId="0" fillId="14" borderId="11" xfId="0" applyNumberFormat="1" applyFont="1" applyFill="1" applyBorder="1" applyAlignment="1">
      <x:alignment wrapText="1"/>
    </x:xf>
    <x:xf numFmtId="0" fontId="0" fillId="14" borderId="16" xfId="0" applyNumberFormat="1" applyFont="1" applyFill="1" applyBorder="1" applyAlignment="1">
      <x:alignment wrapText="1"/>
    </x:xf>
    <x:xf numFmtId="0" fontId="0" fillId="14" borderId="1" xfId="0" applyNumberFormat="1" applyFont="1" applyFill="1" applyBorder="1" applyAlignment="1">
      <x:alignment wrapText="1"/>
    </x:xf>
    <x:xf numFmtId="0" fontId="0" fillId="14" borderId="17" xfId="0" applyNumberFormat="1" applyFont="1" applyFill="1" applyBorder="1" applyAlignment="1">
      <x:alignment wrapText="1"/>
    </x:xf>
    <x:xf numFmtId="0" fontId="0" fillId="15" borderId="10" xfId="0" applyNumberFormat="1" applyFont="1" applyFill="1" applyBorder="1" applyAlignment="1">
      <x:alignment wrapText="1"/>
    </x:xf>
    <x:xf numFmtId="0" fontId="0" fillId="15" borderId="0" xfId="0" applyNumberFormat="1" applyFont="1" applyFill="1" applyBorder="1" applyAlignment="1">
      <x:alignment wrapText="1"/>
    </x:xf>
    <x:xf numFmtId="0" fontId="0" fillId="15" borderId="11" xfId="0" applyNumberFormat="1" applyFont="1" applyFill="1" applyBorder="1" applyAlignment="1">
      <x:alignment wrapText="1"/>
    </x:xf>
    <x:xf numFmtId="0" fontId="0" fillId="15" borderId="16" xfId="0" applyNumberFormat="1" applyFont="1" applyFill="1" applyBorder="1" applyAlignment="1">
      <x:alignment wrapText="1"/>
    </x:xf>
    <x:xf numFmtId="0" fontId="0" fillId="15" borderId="1" xfId="0" applyNumberFormat="1" applyFont="1" applyFill="1" applyBorder="1" applyAlignment="1">
      <x:alignment wrapText="1"/>
    </x:xf>
    <x:xf numFmtId="0" fontId="0" fillId="15" borderId="17" xfId="0" applyNumberFormat="1" applyFont="1" applyFill="1" applyBorder="1" applyAlignment="1">
      <x:alignment wrapText="1"/>
    </x:xf>
    <x:xf numFmtId="0" fontId="0" fillId="16" borderId="10" xfId="0" applyNumberFormat="1" applyFont="1" applyFill="1" applyBorder="1" applyAlignment="1">
      <x:alignment wrapText="1"/>
    </x:xf>
    <x:xf numFmtId="0" fontId="0" fillId="16" borderId="0" xfId="0" applyNumberFormat="1" applyFont="1" applyFill="1" applyBorder="1" applyAlignment="1">
      <x:alignment wrapText="1"/>
    </x:xf>
    <x:xf numFmtId="0" fontId="0" fillId="16" borderId="11" xfId="0" applyNumberFormat="1" applyFont="1" applyFill="1" applyBorder="1" applyAlignment="1">
      <x:alignment wrapText="1"/>
    </x:xf>
    <x:xf numFmtId="0" fontId="0" fillId="16" borderId="16" xfId="0" applyNumberFormat="1" applyFont="1" applyFill="1" applyBorder="1" applyAlignment="1">
      <x:alignment wrapText="1"/>
    </x:xf>
    <x:xf numFmtId="0" fontId="0" fillId="16" borderId="1" xfId="0" applyNumberFormat="1" applyFont="1" applyFill="1" applyBorder="1" applyAlignment="1">
      <x:alignment wrapText="1"/>
    </x:xf>
    <x:xf numFmtId="0" fontId="0" fillId="16" borderId="17" xfId="0" applyNumberFormat="1" applyFont="1" applyFill="1" applyBorder="1" applyAlignment="1">
      <x:alignment wrapText="1"/>
    </x:xf>
    <x:xf numFmtId="0" fontId="0" fillId="16" borderId="12" xfId="0" applyNumberFormat="1" applyFont="1" applyFill="1" applyBorder="1" applyAlignment="1">
      <x:alignment wrapText="1"/>
    </x:xf>
    <x:xf numFmtId="0" fontId="0" fillId="16" borderId="21" xfId="0" applyNumberFormat="1" applyFont="1" applyFill="1" applyBorder="1" applyAlignment="1">
      <x:alignment wrapText="1"/>
    </x:xf>
    <x:xf numFmtId="0" fontId="0" fillId="16" borderId="13" xfId="0" applyNumberFormat="1" applyFont="1" applyFill="1" applyBorder="1" applyAlignment="1">
      <x:alignment wrapText="1"/>
    </x:xf>
    <x:xf numFmtId="0" fontId="0" fillId="16" borderId="18" xfId="0" applyNumberFormat="1" applyFont="1" applyFill="1" applyBorder="1" applyAlignment="1">
      <x:alignment wrapText="1"/>
    </x:xf>
    <x:xf numFmtId="0" fontId="0" fillId="16" borderId="23" xfId="0" applyNumberFormat="1" applyFont="1" applyFill="1" applyBorder="1" applyAlignment="1">
      <x:alignment wrapText="1"/>
    </x:xf>
    <x:xf numFmtId="0" fontId="0" fillId="16" borderId="19" xfId="0" applyNumberFormat="1" applyFont="1" applyFill="1" applyBorder="1" applyAlignment="1">
      <x:alignment wrapText="1"/>
    </x:xf>
    <x:xf numFmtId="0" fontId="0" fillId="17" borderId="20" xfId="0" applyNumberFormat="1" applyFont="1" applyFill="1" applyBorder="1" applyAlignment="1">
      <x:alignment wrapText="1"/>
    </x:xf>
    <x:xf numFmtId="0" fontId="0" fillId="17" borderId="0" xfId="0" applyNumberFormat="1" applyFont="1" applyFill="1" applyBorder="1" applyAlignment="1">
      <x:alignment wrapText="1"/>
    </x:xf>
    <x:xf numFmtId="0" fontId="0" fillId="18" borderId="0" xfId="0" applyNumberFormat="1" applyFont="1" applyFill="1" applyBorder="1" applyAlignment="1">
      <x:alignment wrapText="1"/>
    </x:xf>
    <x:xf numFmtId="0" fontId="0" fillId="17" borderId="21" xfId="0" applyNumberFormat="1" applyFont="1" applyFill="1" applyBorder="1" applyAlignment="1">
      <x:alignment wrapText="1"/>
    </x:xf>
  </x:cellXfs>
  <x:cellStyles count="1">
    <x:cellStyle name="Normal" xfId="0"/>
  </x:cellStyles>
  <x:dxfs count="12">
    <x:dxf>
      <x:fill>
        <x:patternFill>
          <x:bgColor rgb="FFE4F6E8"/>
        </x:patternFill>
      </x:fill>
    </x:dxf>
    <x:dxf>
      <x:fill>
        <x:patternFill>
          <x:bgColor rgb="FFFFF4D6"/>
        </x:patternFill>
      </x:fill>
    </x:dxf>
    <x:dxf>
      <x:fill>
        <x:patternFill>
          <x:bgColor rgb="FFFDE2E2"/>
        </x:patternFill>
      </x:fill>
    </x:dxf>
    <x:dxf>
      <x:fill>
        <x:patternFill>
          <x:bgColor rgb="FFFDEDED"/>
        </x:patternFill>
      </x:fill>
    </x:dxf>
    <x:dxf>
      <x:fill>
        <x:patternFill>
          <x:bgColor rgb="FFEEF4FB"/>
        </x:patternFill>
      </x:fill>
    </x:dxf>
    <x:dxf>
      <x:fill>
        <x:patternFill>
          <x:bgColor rgb="FFF3F3F3"/>
        </x:patternFill>
      </x:fill>
    </x:dxf>
    <x:dxf>
      <x:fill>
        <x:patternFill>
          <x:bgColor rgb="FFFDE2E2"/>
        </x:patternFill>
      </x:fill>
    </x:dxf>
    <x:dxf>
      <x:fill>
        <x:patternFill>
          <x:bgColor rgb="FFE4EEFF"/>
        </x:patternFill>
      </x:fill>
    </x:dxf>
    <x:dxf>
      <x:fill>
        <x:patternFill>
          <x:bgColor rgb="FFE4F6E8"/>
        </x:patternFill>
      </x:fill>
    </x:dxf>
    <x:dxf>
      <x:fill>
        <x:patternFill>
          <x:bgColor rgb="FFEEE5FF"/>
        </x:patternFill>
      </x:fill>
    </x:dxf>
    <x:dxf>
      <x:fill>
        <x:patternFill>
          <x:bgColor rgb="FFF8D7DA"/>
        </x:patternFill>
      </x:fill>
    </x:dxf>
    <x:dxf>
      <x:fill>
        <x:patternFill>
          <x:bgColor rgb="FFE4F6E8"/>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67749d559f74040" /><Relationship Type="http://schemas.openxmlformats.org/officeDocument/2006/relationships/theme" Target="/xl/theme/theme1.xml" Id="R829a26cab9724bf8" /><Relationship Type="http://schemas.openxmlformats.org/officeDocument/2006/relationships/sharedStrings" Target="/xl/sharedStrings.xml" Id="R38a0a93ce3b54128" /><Relationship Type="http://schemas.openxmlformats.org/officeDocument/2006/relationships/worksheet" Target="/xl/worksheets/sheet1.xml" Id="R27f5ff59806c49cd" /><Relationship Type="http://schemas.openxmlformats.org/officeDocument/2006/relationships/worksheet" Target="/xl/worksheets/sheet2.xml" Id="Rc0b9d342ad564402" /><Relationship Type="http://schemas.openxmlformats.org/officeDocument/2006/relationships/worksheet" Target="/xl/worksheets/sheet3.xml" Id="Ref58748e01bd4615" /><Relationship Type="http://schemas.openxmlformats.org/officeDocument/2006/relationships/worksheet" Target="/xl/worksheets/sheet4.xml" Id="R44b999bd78844f28" /><Relationship Type="http://schemas.openxmlformats.org/officeDocument/2006/relationships/worksheet" Target="/xl/worksheets/sheet5.xml" Id="R213d4d709f8c41a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4" hidden="0" customWidth="1"/>
    <x:col min="2" max="2" width="36" hidden="0" customWidth="1"/>
    <x:col min="3" max="3" width="70" hidden="0" customWidth="1"/>
    <x:col min="4" max="4" width="14" hidden="0" customWidth="1"/>
    <x:col min="5" max="5" width="14" hidden="0" customWidth="1"/>
    <x:col min="6" max="6" width="14" hidden="0" customWidth="1"/>
    <x:col min="7" max="7" width="14" hidden="0" customWidth="1"/>
    <x:col min="8" max="8" width="14" hidden="0" customWidth="1"/>
  </x:cols>
  <x:sheetData>
    <x:row r="1" ht="30" customHeight="1">
      <x:c r="A1" s="33" t="str">
        <x:v>Pilottest Laura – Jenaplan-Kompetenzmanager</x:v>
      </x:c>
      <x:c r="B1" s="33"/>
      <x:c r="C1" s="33"/>
      <x:c r="D1" s="33"/>
      <x:c r="E1" s="33"/>
      <x:c r="F1" s="33"/>
      <x:c r="G1" s="33"/>
      <x:c r="H1" s="33"/>
    </x:row>
    <x:row r="2">
      <x:c r="A2" s="41" t="str">
        <x:v>Stand: aktuelles Schülerprofil – Variante A · 15.07.2026</x:v>
      </x:c>
      <x:c r="B2" s="41"/>
      <x:c r="C2" s="41"/>
      <x:c r="D2" s="41"/>
      <x:c r="E2" s="41"/>
      <x:c r="F2" s="41"/>
      <x:c r="G2" s="41"/>
      <x:c r="H2" s="41"/>
    </x:row>
    <x:row r="4">
      <x:c r="A4" s="50" t="str">
        <x:v>Testerin</x:v>
      </x:c>
      <x:c r="B4" s="51" t="str">
        <x:v>Laura</x:v>
      </x:c>
    </x:row>
    <x:row r="5">
      <x:c r="A5" s="52" t="str">
        <x:v>Testdatum</x:v>
      </x:c>
      <x:c r="B5" s="53" t="str"/>
    </x:row>
    <x:row r="6">
      <x:c r="A6" s="52" t="str">
        <x:v>App-Version / Commit</x:v>
      </x:c>
      <x:c r="B6" s="53" t="str">
        <x:v>f2ad8ab6c553ebcfb5e66760091f4d64ee46adec</x:v>
      </x:c>
    </x:row>
    <x:row r="7">
      <x:c r="A7" s="52" t="str">
        <x:v>Testdauer geplant</x:v>
      </x:c>
      <x:c r="B7" s="53" t="str">
        <x:v>ca. 120–180 Minuten</x:v>
      </x:c>
    </x:row>
    <x:row r="8">
      <x:c r="A8" s="54" t="str">
        <x:v>Testdaten</x:v>
      </x:c>
      <x:c r="B8" s="55" t="str">
        <x:v>realistischer Acht-Monats-Datenbestand</x:v>
      </x:c>
    </x:row>
    <x:row r="10">
      <x:c r="A10" s="41" t="str">
        <x:v>Was wurde seit der vorherigen Testdatei ergänzt oder geändert?</x:v>
      </x:c>
      <x:c r="B10" s="41"/>
      <x:c r="C10" s="41"/>
      <x:c r="D10" s="41"/>
      <x:c r="E10" s="41"/>
      <x:c r="F10" s="41"/>
      <x:c r="G10" s="41"/>
      <x:c r="H10" s="41"/>
    </x:row>
    <x:row r="11">
      <x:c r="A11" s="64" t="n">
        <x:v>1</x:v>
      </x:c>
      <x:c r="B11" s="65" t="str">
        <x:v>Neues Schülerdashboard</x:v>
      </x:c>
      <x:c r="C11" s="66" t="str">
        <x:v>Profilüberblick mit mehr Weißraum, klarerer Gewichtung und neuer Designsprache.</x:v>
      </x:c>
    </x:row>
    <x:row r="12">
      <x:c r="A12" s="67" t="n">
        <x:v>2</x:v>
      </x:c>
      <x:c r="B12" s="62" t="str">
        <x:v>Neuer Profilkopf</x:v>
      </x:c>
      <x:c r="C12" s="68" t="str">
        <x:v>Kind, Stammgruppe, Kurse, Dokumentationsring und Hauptaktion „Beobachtung erfassen“ stehen gemeinsam im Kopf.</x:v>
      </x:c>
    </x:row>
    <x:row r="13">
      <x:c r="A13" s="67" t="n">
        <x:v>3</x:v>
      </x:c>
      <x:c r="B13" s="62" t="str">
        <x:v>Thematische Entwicklung</x:v>
      </x:c>
      <x:c r="C13" s="68" t="str">
        <x:v>Fachwechsel, mehrere thematische Entwicklungsgrafen, Datenpunkt-Tooltips und neutrale Orientierungsfarben.</x:v>
      </x:c>
    </x:row>
    <x:row r="14">
      <x:c r="A14" s="67" t="n">
        <x:v>4</x:v>
      </x:c>
      <x:c r="B14" s="62" t="str">
        <x:v>Kompetenzkarte</x:v>
      </x:c>
      <x:c r="C14" s="68" t="str">
        <x:v>Dokumentationsring und Zahlen wurden kompakter und ohne Noten- oder Leistungswirkung gestaltet.</x:v>
      </x:c>
    </x:row>
    <x:row r="15">
      <x:c r="A15" s="67" t="n">
        <x:v>5</x:v>
      </x:c>
      <x:c r="B15" s="62" t="str">
        <x:v>Dokumentenbereich</x:v>
      </x:c>
      <x:c r="C15" s="68" t="str">
        <x:v>Berichtsentwurf, Revisionen und LEG werden in einem kompakten Bereich zusammengefasst.</x:v>
      </x:c>
    </x:row>
    <x:row r="16">
      <x:c r="A16" s="69" t="n">
        <x:v>6</x:v>
      </x:c>
      <x:c r="B16" s="70" t="str">
        <x:v>Letzte Beobachtungen</x:v>
      </x:c>
      <x:c r="C16" s="71" t="str">
        <x:v>Die Kompetenz steht visuell zuerst; Fach, Datum, Textlänge und Navigation wurden überarbeitet.</x:v>
      </x:c>
    </x:row>
    <x:row r="18">
      <x:c r="A18" s="41" t="str">
        <x:v>Empfohlene Reihenfolge</x:v>
      </x:c>
      <x:c r="B18" s="41"/>
      <x:c r="C18" s="41"/>
      <x:c r="D18" s="41"/>
      <x:c r="E18" s="41"/>
      <x:c r="F18" s="41"/>
      <x:c r="G18" s="41"/>
      <x:c r="H18" s="41"/>
    </x:row>
    <x:row r="19">
      <x:c r="A19" s="88" t="str">
        <x:v>1.</x:v>
      </x:c>
      <x:c r="B19" s="89" t="str">
        <x:v>Dashboard und Beobachtungen</x:v>
      </x:c>
      <x:c r="C19" s="89" t="str"/>
      <x:c r="D19" s="89" t="str"/>
      <x:c r="E19" s="89" t="str"/>
      <x:c r="F19" s="89" t="str"/>
      <x:c r="G19" s="89" t="str"/>
      <x:c r="H19" s="90" t="str"/>
    </x:row>
    <x:row r="20">
      <x:c r="A20" s="91" t="str">
        <x:v>2.</x:v>
      </x:c>
      <x:c r="B20" s="83" t="str">
        <x:v>Schülerprofil: Kopf, Entwicklung, Kompetenzkarte, Dokumente und Beobachtungen</x:v>
      </x:c>
      <x:c r="C20" s="83" t="str"/>
      <x:c r="D20" s="83" t="str"/>
      <x:c r="E20" s="83" t="str"/>
      <x:c r="F20" s="83" t="str"/>
      <x:c r="G20" s="83" t="str"/>
      <x:c r="H20" s="92" t="str"/>
    </x:row>
    <x:row r="21">
      <x:c r="A21" s="91" t="str">
        <x:v>3.</x:v>
      </x:c>
      <x:c r="B21" s="83" t="str">
        <x:v>Berichtsentwurf, Vorschau und Entwurfs-PDF</x:v>
      </x:c>
      <x:c r="C21" s="83" t="str"/>
      <x:c r="D21" s="83" t="str"/>
      <x:c r="E21" s="83" t="str"/>
      <x:c r="F21" s="83" t="str"/>
      <x:c r="G21" s="83" t="str"/>
      <x:c r="H21" s="92" t="str"/>
    </x:row>
    <x:row r="22">
      <x:c r="A22" s="91" t="str">
        <x:v>4.</x:v>
      </x:c>
      <x:c r="B22" s="83" t="str">
        <x:v>Finalisierung und Revisionshistorie</x:v>
      </x:c>
      <x:c r="C22" s="83" t="str"/>
      <x:c r="D22" s="83" t="str"/>
      <x:c r="E22" s="83" t="str"/>
      <x:c r="F22" s="83" t="str"/>
      <x:c r="G22" s="83" t="str"/>
      <x:c r="H22" s="92" t="str"/>
    </x:row>
    <x:row r="23">
      <x:c r="A23" s="91" t="str">
        <x:v>5.</x:v>
      </x:c>
      <x:c r="B23" s="83" t="str">
        <x:v>LEG und Stundenplan</x:v>
      </x:c>
      <x:c r="C23" s="83" t="str"/>
      <x:c r="D23" s="83" t="str"/>
      <x:c r="E23" s="83" t="str"/>
      <x:c r="F23" s="83" t="str"/>
      <x:c r="G23" s="83" t="str"/>
      <x:c r="H23" s="92" t="str"/>
    </x:row>
    <x:row r="24">
      <x:c r="A24" s="93" t="str">
        <x:v>6.</x:v>
      </x:c>
      <x:c r="B24" s="94" t="str">
        <x:v>Freie Nutzung und Gesamteindruck</x:v>
      </x:c>
      <x:c r="C24" s="94" t="str"/>
      <x:c r="D24" s="94" t="str"/>
      <x:c r="E24" s="94" t="str"/>
      <x:c r="F24" s="94" t="str"/>
      <x:c r="G24" s="94" t="str"/>
      <x:c r="H24" s="95" t="str"/>
    </x:row>
    <x:row r="25">
      <x:c r="A25" t="str">
        <x:v>Wichtig: Abschluss- und PDF-Fälle</x:v>
      </x:c>
    </x:row>
    <x:row r="26">
      <x:c r="A26" s="41" t="str">
        <x:v>Bericht: Finales PDF nur aus der aktuellen finalisierten Revision erzeugen. LEG: Abschluss, Revision und finales PDF erst nach gespeichertem vollständigem Draft prüfen. Entwurfs-PDF und finales Revisions-PDF niemals verwechseln.</x:v>
      </x:c>
      <x:c r="B26" s="41"/>
      <x:c r="C26" s="41"/>
      <x:c r="D26" s="41"/>
      <x:c r="E26" s="41"/>
      <x:c r="F26" s="41"/>
      <x:c r="G26" s="41"/>
      <x:c r="H26" s="41"/>
    </x:row>
    <x:row r="27">
      <x:c r="A27" s="107" t="str">
        <x:v>Derzeit ausdrücklich nicht testen: finales PDF aus einer Revision, PDF-Artefaktverwaltung, Renderer-Versionierung, LEG-Abschluss, LEG-Revision und LEG-Export. Das vorhandene PDF bleibt die Ausgabe des bearbeitbaren Berichtsentwurfs. Diese Punkte bitte nicht als Fehler melden.</x:v>
      </x:c>
      <x:c r="B27" s="107"/>
      <x:c r="C27" s="107"/>
      <x:c r="D27" s="107"/>
      <x:c r="E27" s="107"/>
      <x:c r="F27" s="107"/>
      <x:c r="G27" s="107"/>
      <x:c r="H27" s="107"/>
    </x:row>
    <x:row r="28">
      <x:c r="A28" s="107"/>
      <x:c r="B28" s="107"/>
      <x:c r="C28" s="107"/>
      <x:c r="D28" s="107"/>
      <x:c r="E28" s="107"/>
      <x:c r="F28" s="107"/>
      <x:c r="G28" s="107"/>
      <x:c r="H28" s="107"/>
    </x:row>
    <x:row r="29">
      <x:c r="A29" s="107"/>
      <x:c r="B29" s="107"/>
      <x:c r="C29" s="107"/>
      <x:c r="D29" s="107"/>
      <x:c r="E29" s="107"/>
      <x:c r="F29" s="107"/>
      <x:c r="G29" s="107"/>
      <x:c r="H29" s="107"/>
    </x:row>
    <x:row r="30">
      <x:c r="A30" s="107"/>
      <x:c r="B30" s="107"/>
      <x:c r="C30" s="107"/>
      <x:c r="D30" s="107"/>
      <x:c r="E30" s="107"/>
      <x:c r="F30" s="107"/>
      <x:c r="G30" s="107"/>
      <x:c r="H30" s="107"/>
    </x:row>
    <x:row r="32">
      <x:c r="A32" s="41" t="str">
        <x:v>So wird Feedback erfasst</x:v>
      </x:c>
      <x:c r="B32" s="41"/>
      <x:c r="C32" s="41"/>
      <x:c r="D32" s="41"/>
      <x:c r="E32" s="41"/>
      <x:c r="F32" s="41"/>
      <x:c r="G32" s="41"/>
      <x:c r="H32" s="41"/>
    </x:row>
    <x:row r="33">
      <x:c r="A33" s="88" t="str">
        <x:v>1.</x:v>
      </x:c>
      <x:c r="B33" s="89" t="str">
        <x:v>Im Blatt „Testplan“ Ergebnis auswählen.</x:v>
      </x:c>
      <x:c r="C33" s="89" t="str"/>
      <x:c r="D33" s="89" t="str"/>
      <x:c r="E33" s="89" t="str"/>
      <x:c r="F33" s="89" t="str"/>
      <x:c r="G33" s="89" t="str"/>
      <x:c r="H33" s="90" t="str"/>
    </x:row>
    <x:row r="34">
      <x:c r="A34" s="91" t="str">
        <x:v>2.</x:v>
      </x:c>
      <x:c r="B34" s="83" t="str">
        <x:v>Bei einer Auffälligkeit im Blatt „Feedback“ eine neue Zeile ausfüllen.</x:v>
      </x:c>
      <x:c r="C34" s="83" t="str"/>
      <x:c r="D34" s="83" t="str"/>
      <x:c r="E34" s="83" t="str"/>
      <x:c r="F34" s="83" t="str"/>
      <x:c r="G34" s="83" t="str"/>
      <x:c r="H34" s="92" t="str"/>
    </x:row>
    <x:row r="35">
      <x:c r="A35" s="91" t="str">
        <x:v>3.</x:v>
      </x:c>
      <x:c r="B35" s="83" t="str">
        <x:v>Immer die Test-Nr. eintragen.</x:v>
      </x:c>
      <x:c r="C35" s="83" t="str"/>
      <x:c r="D35" s="83" t="str"/>
      <x:c r="E35" s="83" t="str"/>
      <x:c r="F35" s="83" t="str"/>
      <x:c r="G35" s="83" t="str"/>
      <x:c r="H35" s="92" t="str"/>
    </x:row>
    <x:row r="36">
      <x:c r="A36" s="91" t="str">
        <x:v>4.</x:v>
      </x:c>
      <x:c r="B36" s="83" t="str">
        <x:v>Bug = Funktion fehlerhaft; UX = Bedienung unklar; Wunsch = neue Idee; Produktentscheidung = fachliche Entscheidung.</x:v>
      </x:c>
      <x:c r="C36" s="83" t="str"/>
      <x:c r="D36" s="83" t="str"/>
      <x:c r="E36" s="83" t="str"/>
      <x:c r="F36" s="83" t="str"/>
      <x:c r="G36" s="83" t="str"/>
      <x:c r="H36" s="92" t="str"/>
    </x:row>
    <x:row r="37">
      <x:c r="A37" s="93" t="str">
        <x:v>5.</x:v>
      </x:c>
      <x:c r="B37" s="94" t="str">
        <x:v>Screenshots oder genaue Bildschirmtexte ergänzen, falls möglich.</x:v>
      </x:c>
      <x:c r="C37" s="94" t="str"/>
      <x:c r="D37" s="94" t="str"/>
      <x:c r="E37" s="94" t="str"/>
      <x:c r="F37" s="94" t="str"/>
      <x:c r="G37" s="94" t="str"/>
      <x:c r="H37" s="95" t="str"/>
    </x:row>
  </x:sheetData>
  <x:mergeCells>
    <x:mergeCell ref="A1:H1"/>
    <x:mergeCell ref="A2:H2"/>
    <x:mergeCell ref="A10:H10"/>
    <x:mergeCell ref="A18:H18"/>
    <x:mergeCell ref="A26:H26"/>
    <x:mergeCell ref="A27:H30"/>
    <x:mergeCell ref="A32:H32"/>
  </x:mergeCells>
  <x:pageMargins left="0.7" right="0.7" top="0.75" bottom="0.75" header="0.3" footer="0.3"/>
</x:worksheet>
</file>

<file path=xl/worksheets/sheet2.xml><?xml version="1.0" encoding="utf-8"?>
<x:worksheet xmlns:x="http://schemas.openxmlformats.org/spreadsheetml/2006/main">
  <x:sheetFormatPr defaultRowHeight="15"/>
  <x:cols>
    <x:col min="1" max="1" width="7" hidden="0" customWidth="1"/>
    <x:col min="2" max="2" width="12" hidden="0" customWidth="1"/>
    <x:col min="3" max="3" width="24" hidden="0" customWidth="1"/>
    <x:col min="4" max="4" width="28" hidden="0" customWidth="1"/>
    <x:col min="5" max="5" width="58" hidden="0" customWidth="1"/>
    <x:col min="6" max="6" width="18" hidden="0" customWidth="1"/>
    <x:col min="7" max="7" width="14" hidden="0" customWidth="1"/>
    <x:col min="8" max="8" width="42" hidden="0" customWidth="1"/>
  </x:cols>
  <x:sheetData>
    <x:row r="1">
      <x:c r="A1" s="33" t="str">
        <x:v>Testplan – aktuelles Schülerprofil · Variante A</x:v>
      </x:c>
      <x:c r="B1" s="33"/>
      <x:c r="C1" s="33"/>
      <x:c r="D1" s="33"/>
      <x:c r="E1" s="33"/>
      <x:c r="F1" s="33"/>
      <x:c r="G1" s="33"/>
      <x:c r="H1" s="33"/>
    </x:row>
    <x:row r="3">
      <x:c r="A3" s="112" t="str">
        <x:v>Bestanden</x:v>
      </x:c>
      <x:c r="B3" s="122" t="n">
        <x:f>COUNTIF(F9:F73,"Bestanden")</x:f>
        <x:v>0</x:v>
      </x:c>
      <x:c r="D3" s="83" t="str">
        <x:v>Priorität „Muss“ zuerst vollständig testen. „Soll“ prüft Lesbarkeit und Alltagstauglichkeit. „Optional“ nur verwenden, wenn die vorbereiteten Testdaten den Sonderfall enthalten. Neue Fälle 59–65 ergänzen Beobachtungsbearbeitung, Belege sowie finale Bericht-/LEG-Wege.</x:v>
      </x:c>
      <x:c r="E3" s="83"/>
      <x:c r="F3" s="83"/>
      <x:c r="G3" s="83"/>
      <x:c r="H3" s="83"/>
    </x:row>
    <x:row r="4">
      <x:c r="A4" s="113" t="str">
        <x:v>Teilweise</x:v>
      </x:c>
      <x:c r="B4" s="123" t="n">
        <x:f>COUNTIF(F9:F73,"Teilweise")</x:f>
        <x:v>0</x:v>
      </x:c>
      <x:c r="D4" s="83"/>
      <x:c r="E4" s="83"/>
      <x:c r="F4" s="83"/>
      <x:c r="G4" s="83"/>
      <x:c r="H4" s="83"/>
    </x:row>
    <x:row r="5">
      <x:c r="A5" s="113" t="str">
        <x:v>Nicht bestanden</x:v>
      </x:c>
      <x:c r="B5" s="123" t="n">
        <x:f>COUNTIF(F9:F73,"Nicht bestanden")</x:f>
        <x:v>0</x:v>
      </x:c>
      <x:c r="D5" s="83"/>
      <x:c r="E5" s="83"/>
      <x:c r="F5" s="83"/>
      <x:c r="G5" s="83"/>
      <x:c r="H5" s="83"/>
    </x:row>
    <x:row r="6">
      <x:c r="A6" s="114" t="str">
        <x:v>Noch offen</x:v>
      </x:c>
      <x:c r="B6" s="124" t="n">
        <x:f>COUNTBLANK(F9:F73)</x:f>
        <x:v>65</x:v>
      </x:c>
      <x:c r="D6" s="83"/>
      <x:c r="E6" s="83"/>
      <x:c r="F6" s="83"/>
      <x:c r="G6" s="83"/>
      <x:c r="H6" s="83"/>
    </x:row>
    <x:row r="8">
      <x:c r="A8" s="13" t="str">
        <x:v>Nr.</x:v>
      </x:c>
      <x:c r="B8" s="14" t="str">
        <x:v>Priorität</x:v>
      </x:c>
      <x:c r="C8" s="14" t="str">
        <x:v>Bereich</x:v>
      </x:c>
      <x:c r="D8" s="14" t="str">
        <x:v>Funktion</x:v>
      </x:c>
      <x:c r="E8" s="14" t="str">
        <x:v>Testziel</x:v>
      </x:c>
      <x:c r="F8" s="14" t="str">
        <x:v>Ergebnis</x:v>
      </x:c>
      <x:c r="G8" s="14" t="str">
        <x:v>Feedback-Nr.</x:v>
      </x:c>
      <x:c r="H8" s="15" t="str">
        <x:v>Kurze Notiz</x:v>
      </x:c>
    </x:row>
    <x:row r="9" ht="34" customHeight="1">
      <x:c r="A9" s="64" t="n">
        <x:v>1</x:v>
      </x:c>
      <x:c r="B9" s="198" t="str">
        <x:v>Muss</x:v>
      </x:c>
      <x:c r="C9" s="65" t="str">
        <x:v>Dashboard</x:v>
      </x:c>
      <x:c r="D9" s="65" t="str">
        <x:v>Aktuelle Stunde</x:v>
      </x:c>
      <x:c r="E9" s="65" t="str">
        <x:v>Hero-Karte zeigt die richtige laufende Stunde und „Kinder anzeigen“ funktioniert.</x:v>
      </x:c>
      <x:c r="F9" s="65"/>
      <x:c r="G9" s="65"/>
      <x:c r="H9" s="66"/>
    </x:row>
    <x:row r="10" ht="34" customHeight="1">
      <x:c r="A10" s="67" t="n">
        <x:v>2</x:v>
      </x:c>
      <x:c r="B10" s="199" t="str">
        <x:v>Muss</x:v>
      </x:c>
      <x:c r="C10" s="62" t="str">
        <x:v>Dashboard</x:v>
      </x:c>
      <x:c r="D10" s="62" t="str">
        <x:v>Aktionen reduziert</x:v>
      </x:c>
      <x:c r="E10" s="62" t="str">
        <x:v>In der Hero-Karte gibt es keinen zweiten „+ Beobachtung“-Button; globaler Button und kindbezogene Aktionen bleiben.</x:v>
      </x:c>
      <x:c r="F10" s="62"/>
      <x:c r="G10" s="62"/>
      <x:c r="H10" s="68"/>
    </x:row>
    <x:row r="11" ht="34" customHeight="1">
      <x:c r="A11" s="67" t="n">
        <x:v>3</x:v>
      </x:c>
      <x:c r="B11" s="199" t="str">
        <x:v>Muss</x:v>
      </x:c>
      <x:c r="C11" s="62" t="str">
        <x:v>Dashboard</x:v>
      </x:c>
      <x:c r="D11" s="62" t="str">
        <x:v>Nächste Stunde / Pause</x:v>
      </x:c>
      <x:c r="E11" s="62" t="str">
        <x:v>Vor oder zwischen Stunden wird die nächste passende Stunde korrekt angezeigt.</x:v>
      </x:c>
      <x:c r="F11" s="62"/>
      <x:c r="G11" s="62"/>
      <x:c r="H11" s="68"/>
    </x:row>
    <x:row r="12" ht="34" customHeight="1">
      <x:c r="A12" s="67" t="n">
        <x:v>4</x:v>
      </x:c>
      <x:c r="B12" s="199" t="str">
        <x:v>Muss</x:v>
      </x:c>
      <x:c r="C12" s="62" t="str">
        <x:v>Dashboard</x:v>
      </x:c>
      <x:c r="D12" s="62" t="str">
        <x:v>Passende Kinder</x:v>
      </x:c>
      <x:c r="E12" s="62" t="str">
        <x:v>Vorgeschlagene Kinder passen zu Fach und Unterrichtskontext; Beobachtung startet korrekt vorbelegt.</x:v>
      </x:c>
      <x:c r="F12" s="62"/>
      <x:c r="G12" s="62"/>
      <x:c r="H12" s="68"/>
    </x:row>
    <x:row r="13" ht="34" customHeight="1">
      <x:c r="A13" s="67" t="n">
        <x:v>5</x:v>
      </x:c>
      <x:c r="B13" s="200" t="str">
        <x:v>Soll</x:v>
      </x:c>
      <x:c r="C13" s="62" t="str">
        <x:v>Dashboard</x:v>
      </x:c>
      <x:c r="D13" s="62" t="str">
        <x:v>Dokumentationsmatrix</x:v>
      </x:c>
      <x:c r="E13" s="62" t="str">
        <x:v>Matrix zeigt Dokumentationsstand neutral und nicht als Leistungsbewertung.</x:v>
      </x:c>
      <x:c r="F13" s="62"/>
      <x:c r="G13" s="62"/>
      <x:c r="H13" s="68"/>
    </x:row>
    <x:row r="14" ht="34" customHeight="1">
      <x:c r="A14" s="67" t="n">
        <x:v>6</x:v>
      </x:c>
      <x:c r="B14" s="199" t="str">
        <x:v>Muss</x:v>
      </x:c>
      <x:c r="C14" s="62" t="str">
        <x:v>Beobachtungen</x:v>
      </x:c>
      <x:c r="D14" s="62" t="str">
        <x:v>Normale Beobachtung</x:v>
      </x:c>
      <x:c r="E14" s="62" t="str">
        <x:v>Kompetenz, Bewertung und Notiz erfassen, speichern und im Profil wiederfinden.</x:v>
      </x:c>
      <x:c r="F14" s="62"/>
      <x:c r="G14" s="62"/>
      <x:c r="H14" s="68"/>
    </x:row>
    <x:row r="15" ht="34" customHeight="1">
      <x:c r="A15" s="67" t="n">
        <x:v>7</x:v>
      </x:c>
      <x:c r="B15" s="199" t="str">
        <x:v>Muss</x:v>
      </x:c>
      <x:c r="C15" s="62" t="str">
        <x:v>Beobachtungen</x:v>
      </x:c>
      <x:c r="D15" s="62" t="str">
        <x:v>Schnellbeobachtung</x:v>
      </x:c>
      <x:c r="E15" s="62" t="str">
        <x:v>Schnellbeobachtung benötigt eine Notiz und kann später ergänzt werden.</x:v>
      </x:c>
      <x:c r="F15" s="62"/>
      <x:c r="G15" s="62"/>
      <x:c r="H15" s="68"/>
    </x:row>
    <x:row r="16" ht="34" customHeight="1">
      <x:c r="A16" s="67" t="n">
        <x:v>8</x:v>
      </x:c>
      <x:c r="B16" s="199" t="str">
        <x:v>Muss</x:v>
      </x:c>
      <x:c r="C16" s="62" t="str">
        <x:v>Beobachtungen</x:v>
      </x:c>
      <x:c r="D16" s="62" t="str">
        <x:v>Kompetenzauswahl</x:v>
      </x:c>
      <x:c r="E16" s="62" t="str">
        <x:v>Fach → Kompetenzbereich → Thema → Kompetenz ist schnell und verständlich bedienbar.</x:v>
      </x:c>
      <x:c r="F16" s="62"/>
      <x:c r="G16" s="62"/>
      <x:c r="H16" s="68"/>
    </x:row>
    <x:row r="17" ht="34" customHeight="1">
      <x:c r="A17" s="67" t="n">
        <x:v>9</x:v>
      </x:c>
      <x:c r="B17" s="199" t="str">
        <x:v>Muss</x:v>
      </x:c>
      <x:c r="C17" s="62" t="str">
        <x:v>Schülerprofil – Profilkopf</x:v>
      </x:c>
      <x:c r="D17" s="62" t="str">
        <x:v>3-Sekunden-Orientierung</x:v>
      </x:c>
      <x:c r="E17" s="62" t="str">
        <x:v>Kind, Stammgruppe, Kurse, Dokumentationsstand und Hauptaktion sind innerhalb von drei Sekunden erfassbar.</x:v>
      </x:c>
      <x:c r="F17" s="62"/>
      <x:c r="G17" s="62"/>
      <x:c r="H17" s="68"/>
    </x:row>
    <x:row r="18" ht="34" customHeight="1">
      <x:c r="A18" s="67" t="n">
        <x:v>10</x:v>
      </x:c>
      <x:c r="B18" s="199" t="str">
        <x:v>Muss</x:v>
      </x:c>
      <x:c r="C18" s="62" t="str">
        <x:v>Schülerprofil – Profilkopf</x:v>
      </x:c>
      <x:c r="D18" s="62" t="str">
        <x:v>Kind, Stammgruppe und Kurse</x:v>
      </x:c>
      <x:c r="E18" s="62" t="str">
        <x:v>Identität und organisatorischer Kontext sind eindeutig, ruhig und ohne doppelte Angaben dargestellt.</x:v>
      </x:c>
      <x:c r="F18" s="62"/>
      <x:c r="G18" s="62"/>
      <x:c r="H18" s="68"/>
    </x:row>
    <x:row r="19" ht="34" customHeight="1">
      <x:c r="A19" s="67" t="n">
        <x:v>11</x:v>
      </x:c>
      <x:c r="B19" s="199" t="str">
        <x:v>Muss</x:v>
      </x:c>
      <x:c r="C19" s="62" t="str">
        <x:v>Schülerprofil – Profilkopf</x:v>
      </x:c>
      <x:c r="D19" s="62" t="str">
        <x:v>Dokumentationsring und Hauptaktion</x:v>
      </x:c>
      <x:c r="E19" s="62" t="str">
        <x:v>Ring zeigt nur Dokumentationsumfang; „Beobachtung erfassen“ ist die klar dominante Aktion.</x:v>
      </x:c>
      <x:c r="F19" s="62"/>
      <x:c r="G19" s="62"/>
      <x:c r="H19" s="68"/>
    </x:row>
    <x:row r="20" ht="34" customHeight="1">
      <x:c r="A20" s="67" t="n">
        <x:v>12</x:v>
      </x:c>
      <x:c r="B20" s="199" t="str">
        <x:v>Muss</x:v>
      </x:c>
      <x:c r="C20" s="62" t="str">
        <x:v>Schülerprofil – Entwicklung</x:v>
      </x:c>
      <x:c r="D20" s="62" t="str">
        <x:v>Fachwechsel</x:v>
      </x:c>
      <x:c r="E20" s="62" t="str">
        <x:v>Beim Fachwechsel aktualisieren sich Überschrift, Themen und Inhalte eindeutig und ohne vermischte Daten.</x:v>
      </x:c>
      <x:c r="F20" s="62"/>
      <x:c r="G20" s="62"/>
      <x:c r="H20" s="68"/>
    </x:row>
    <x:row r="21" ht="34" customHeight="1">
      <x:c r="A21" s="67" t="n">
        <x:v>13</x:v>
      </x:c>
      <x:c r="B21" s="199" t="str">
        <x:v>Muss</x:v>
      </x:c>
      <x:c r="C21" s="62" t="str">
        <x:v>Schülerprofil – Entwicklung</x:v>
      </x:c>
      <x:c r="D21" s="62" t="str">
        <x:v>Thematische Entwicklungsgrafen</x:v>
      </x:c>
      <x:c r="E21" s="62" t="str">
        <x:v>Mehrere Themen werden als getrennte, gut lesbare Entwicklungsgrafen dargestellt.</x:v>
      </x:c>
      <x:c r="F21" s="62"/>
      <x:c r="G21" s="62"/>
      <x:c r="H21" s="68"/>
    </x:row>
    <x:row r="22" ht="34" customHeight="1">
      <x:c r="A22" s="67" t="n">
        <x:v>14</x:v>
      </x:c>
      <x:c r="B22" s="199" t="str">
        <x:v>Muss</x:v>
      </x:c>
      <x:c r="C22" s="62" t="str">
        <x:v>Schülerprofil – Entwicklung</x:v>
      </x:c>
      <x:c r="D22" s="62" t="str">
        <x:v>Farben ohne Leistungswertung</x:v>
      </x:c>
      <x:c r="E22" s="62" t="str">
        <x:v>Farben helfen nur bei der Orientierung und erzeugen keine Gut-/Schlecht- oder Notenwirkung.</x:v>
      </x:c>
      <x:c r="F22" s="62"/>
      <x:c r="G22" s="62"/>
      <x:c r="H22" s="68"/>
    </x:row>
    <x:row r="23" ht="34" customHeight="1">
      <x:c r="A23" s="67" t="n">
        <x:v>15</x:v>
      </x:c>
      <x:c r="B23" s="200" t="str">
        <x:v>Soll</x:v>
      </x:c>
      <x:c r="C23" s="62" t="str">
        <x:v>Schülerprofil – Entwicklung</x:v>
      </x:c>
      <x:c r="D23" s="62" t="str">
        <x:v>Tooltip je Datenpunkt</x:v>
      </x:c>
      <x:c r="E23" s="62" t="str">
        <x:v>Jeder sichtbare Datenpunkt erklärt Datum, dokumentierten Stand und zugehörigen Beleg verständlich.</x:v>
      </x:c>
      <x:c r="F23" s="62"/>
      <x:c r="G23" s="62"/>
      <x:c r="H23" s="68"/>
    </x:row>
    <x:row r="24" ht="34" customHeight="1">
      <x:c r="A24" s="67" t="n">
        <x:v>16</x:v>
      </x:c>
      <x:c r="B24" s="199" t="str">
        <x:v>Muss</x:v>
      </x:c>
      <x:c r="C24" s="62" t="str">
        <x:v>Schülerprofil – Entwicklung</x:v>
      </x:c>
      <x:c r="D24" s="62" t="str">
        <x:v>Empty State</x:v>
      </x:c>
      <x:c r="E24" s="62" t="str">
        <x:v>Ohne passende Daten erscheint ein neutraler, handlungsorientierter Leerzustand ohne erfundene Entwicklung.</x:v>
      </x:c>
      <x:c r="F24" s="62"/>
      <x:c r="G24" s="62"/>
      <x:c r="H24" s="68"/>
    </x:row>
    <x:row r="25" ht="34" customHeight="1">
      <x:c r="A25" s="67" t="n">
        <x:v>17</x:v>
      </x:c>
      <x:c r="B25" s="200" t="str">
        <x:v>Soll</x:v>
      </x:c>
      <x:c r="C25" s="62" t="str">
        <x:v>Schülerprofil – Entwicklung</x:v>
      </x:c>
      <x:c r="D25" s="62" t="str">
        <x:v>Wenige Daten</x:v>
      </x:c>
      <x:c r="E25" s="62" t="str">
        <x:v>Ein oder zwei Ereignisse werden ehrlich und ohne künstliche Verbindung oder Trendbehauptung gezeigt.</x:v>
      </x:c>
      <x:c r="F25" s="62"/>
      <x:c r="G25" s="62"/>
      <x:c r="H25" s="68"/>
    </x:row>
    <x:row r="26" ht="34" customHeight="1">
      <x:c r="A26" s="67" t="n">
        <x:v>18</x:v>
      </x:c>
      <x:c r="B26" s="199" t="str">
        <x:v>Muss</x:v>
      </x:c>
      <x:c r="C26" s="62" t="str">
        <x:v>Schülerprofil – Entwicklung</x:v>
      </x:c>
      <x:c r="D26" s="62" t="str">
        <x:v>Historische Kompetenzreferenzen</x:v>
      </x:c>
      <x:c r="E26" s="62" t="str">
        <x:v>Historische Referenzen bleiben gekennzeichnet, nachvollziehbar und werden nicht still entfernt oder reaktiviert.</x:v>
      </x:c>
      <x:c r="F26" s="62"/>
      <x:c r="G26" s="62"/>
      <x:c r="H26" s="68"/>
    </x:row>
    <x:row r="27" ht="34" customHeight="1">
      <x:c r="A27" s="67" t="n">
        <x:v>19</x:v>
      </x:c>
      <x:c r="B27" s="199" t="str">
        <x:v>Muss</x:v>
      </x:c>
      <x:c r="C27" s="62" t="str">
        <x:v>Schülerprofil – Entwicklung</x:v>
      </x:c>
      <x:c r="D27" s="62" t="str">
        <x:v>Orientierungskarte</x:v>
      </x:c>
      <x:c r="E27" s="62" t="str">
        <x:v>Höchstens drei reale Statusänderungen erscheinen mit vorherigem und neuem Stand, Zeitraum und auslösendem Ereignis.</x:v>
      </x:c>
      <x:c r="F27" s="62"/>
      <x:c r="G27" s="62"/>
      <x:c r="H27" s="68"/>
    </x:row>
    <x:row r="28" ht="34" customHeight="1">
      <x:c r="A28" s="67" t="n">
        <x:v>20</x:v>
      </x:c>
      <x:c r="B28" s="199" t="str">
        <x:v>Muss</x:v>
      </x:c>
      <x:c r="C28" s="62" t="str">
        <x:v>Schülerprofil – Kompetenzkarte</x:v>
      </x:c>
      <x:c r="D28" s="62" t="str">
        <x:v>Dokumentationsring</x:v>
      </x:c>
      <x:c r="E28" s="62" t="str">
        <x:v>Ring und Beschriftung zeigen ausschließlich den Umfang dokumentierter Lernbereiche.</x:v>
      </x:c>
      <x:c r="F28" s="62"/>
      <x:c r="G28" s="62"/>
      <x:c r="H28" s="68"/>
    </x:row>
    <x:row r="29" ht="34" customHeight="1">
      <x:c r="A29" s="67" t="n">
        <x:v>21</x:v>
      </x:c>
      <x:c r="B29" s="199" t="str">
        <x:v>Muss</x:v>
      </x:c>
      <x:c r="C29" s="62" t="str">
        <x:v>Schülerprofil – Kompetenzkarte</x:v>
      </x:c>
      <x:c r="D29" s="62" t="str">
        <x:v>Visualisierung und Zahlen</x:v>
      </x:c>
      <x:c r="E29" s="62" t="str">
        <x:v>Zahlen sind plausibel, verständlich und wirken weder wie Note noch Leistungsskala.</x:v>
      </x:c>
      <x:c r="F29" s="62"/>
      <x:c r="G29" s="62"/>
      <x:c r="H29" s="68"/>
    </x:row>
    <x:row r="30" ht="34" customHeight="1">
      <x:c r="A30" s="67" t="n">
        <x:v>22</x:v>
      </x:c>
      <x:c r="B30" s="199" t="str">
        <x:v>Muss</x:v>
      </x:c>
      <x:c r="C30" s="62" t="str">
        <x:v>Schülerprofil – Nicht dokumentiert</x:v>
      </x:c>
      <x:c r="D30" s="62" t="str">
        <x:v>Arbeitsliste statt Warnung</x:v>
      </x:c>
      <x:c r="E30" s="62" t="str">
        <x:v>Offene Bereiche wirken neutral wie eine Arbeitsliste und nicht wie Fehler, Defizit oder Alarm.</x:v>
      </x:c>
      <x:c r="F30" s="62"/>
      <x:c r="G30" s="62"/>
      <x:c r="H30" s="68"/>
    </x:row>
    <x:row r="31" ht="34" customHeight="1">
      <x:c r="A31" s="67" t="n">
        <x:v>23</x:v>
      </x:c>
      <x:c r="B31" s="199" t="str">
        <x:v>Muss</x:v>
      </x:c>
      <x:c r="C31" s="62" t="str">
        <x:v>Schülerprofil – Nicht dokumentiert</x:v>
      </x:c>
      <x:c r="D31" s="62" t="str">
        <x:v>Reihenfolge und Navigation</x:v>
      </x:c>
      <x:c r="E31" s="62" t="str">
        <x:v>Einträge sind sinnvoll geordnet und führen direkt zum passenden Kompetenzbereich.</x:v>
      </x:c>
      <x:c r="F31" s="62"/>
      <x:c r="G31" s="62"/>
      <x:c r="H31" s="68"/>
    </x:row>
    <x:row r="32" ht="34" customHeight="1">
      <x:c r="A32" s="67" t="n">
        <x:v>24</x:v>
      </x:c>
      <x:c r="B32" s="199" t="str">
        <x:v>Muss</x:v>
      </x:c>
      <x:c r="C32" s="62" t="str">
        <x:v>Schülerprofil – Dokumente</x:v>
      </x:c>
      <x:c r="D32" s="62" t="str">
        <x:v>Berichtsentwurf</x:v>
      </x:c>
      <x:c r="E32" s="62" t="str">
        <x:v>Entwurfsstatus ist kompakt lesbar und öffnet den vorhandenen Berichtspfad.</x:v>
      </x:c>
      <x:c r="F32" s="62"/>
      <x:c r="G32" s="62"/>
      <x:c r="H32" s="68"/>
    </x:row>
    <x:row r="33" ht="34" customHeight="1">
      <x:c r="A33" s="67" t="n">
        <x:v>25</x:v>
      </x:c>
      <x:c r="B33" s="200" t="str">
        <x:v>Soll</x:v>
      </x:c>
      <x:c r="C33" s="62" t="str">
        <x:v>Schülerprofil – Dokumente</x:v>
      </x:c>
      <x:c r="D33" s="62" t="str">
        <x:v>Revisionen</x:v>
      </x:c>
      <x:c r="E33" s="62" t="str">
        <x:v>Aktuelle und ersetzte Revisionen sind kompakt zusammengefasst und gezielt erreichbar.</x:v>
      </x:c>
      <x:c r="F33" s="62"/>
      <x:c r="G33" s="62"/>
      <x:c r="H33" s="68"/>
    </x:row>
    <x:row r="34" ht="34" customHeight="1">
      <x:c r="A34" s="67" t="n">
        <x:v>26</x:v>
      </x:c>
      <x:c r="B34" s="199" t="str">
        <x:v>Muss</x:v>
      </x:c>
      <x:c r="C34" s="62" t="str">
        <x:v>Schülerprofil – Dokumente</x:v>
      </x:c>
      <x:c r="D34" s="62" t="str">
        <x:v>LEG</x:v>
      </x:c>
      <x:c r="E34" s="62" t="str">
        <x:v>LEG-Status ist kompakt erkennbar und führt nur in den bestehenden Vorbereitungsweg.</x:v>
      </x:c>
      <x:c r="F34" s="62"/>
      <x:c r="G34" s="62"/>
      <x:c r="H34" s="68"/>
    </x:row>
    <x:row r="35" ht="34" customHeight="1">
      <x:c r="A35" s="67" t="n">
        <x:v>27</x:v>
      </x:c>
      <x:c r="B35" s="199" t="str">
        <x:v>Muss</x:v>
      </x:c>
      <x:c r="C35" s="62" t="str">
        <x:v>Schülerprofil – Letzte Beobachtungen</x:v>
      </x:c>
      <x:c r="D35" s="62" t="str">
        <x:v>Kompetenz im Vordergrund</x:v>
      </x:c>
      <x:c r="E35" s="62" t="str">
        <x:v>Die konkrete Kompetenz ist visuell die wichtigste Information jeder Beobachtungskarte.</x:v>
      </x:c>
      <x:c r="F35" s="62"/>
      <x:c r="G35" s="62"/>
      <x:c r="H35" s="68"/>
    </x:row>
    <x:row r="36" ht="34" customHeight="1">
      <x:c r="A36" s="67" t="n">
        <x:v>28</x:v>
      </x:c>
      <x:c r="B36" s="200" t="str">
        <x:v>Soll</x:v>
      </x:c>
      <x:c r="C36" s="62" t="str">
        <x:v>Schülerprofil – Letzte Beobachtungen</x:v>
      </x:c>
      <x:c r="D36" s="62" t="str">
        <x:v>Metadaten, Textlänge und Navigation</x:v>
      </x:c>
      <x:c r="E36" s="62" t="str">
        <x:v>Fach und Datum sind verständlich, Texte bleiben kompakt und die vollständige Beobachtung ist erreichbar.</x:v>
      </x:c>
      <x:c r="F36" s="62"/>
      <x:c r="G36" s="62"/>
      <x:c r="H36" s="68"/>
    </x:row>
    <x:row r="37" ht="34" customHeight="1">
      <x:c r="A37" s="67" t="n">
        <x:v>29</x:v>
      </x:c>
      <x:c r="B37" s="199" t="str">
        <x:v>Muss</x:v>
      </x:c>
      <x:c r="C37" s="62" t="str">
        <x:v>Schülerprofil – Layout</x:v>
      </x:c>
      <x:c r="D37" s="62" t="str">
        <x:v>1400 × 900</x:v>
      </x:c>
      <x:c r="E37" s="62" t="str">
        <x:v>Alle wichtigen Profilinhalte sind vollständig lesbar; kein Inhalt oder Hauptweg ist abgeschnitten.</x:v>
      </x:c>
      <x:c r="F37" s="62"/>
      <x:c r="G37" s="62"/>
      <x:c r="H37" s="68"/>
    </x:row>
    <x:row r="38" ht="34" customHeight="1">
      <x:c r="A38" s="67" t="n">
        <x:v>30</x:v>
      </x:c>
      <x:c r="B38" s="199" t="str">
        <x:v>Muss</x:v>
      </x:c>
      <x:c r="C38" s="62" t="str">
        <x:v>Schülerprofil – Layout</x:v>
      </x:c>
      <x:c r="D38" s="62" t="str">
        <x:v>1180 × 760</x:v>
      </x:c>
      <x:c r="E38" s="62" t="str">
        <x:v>Karten ordnen sich sinnvoll untereinander; genau ein vertikaler Inhaltsfluss bleibt ohne horizontalen Gesamtscroll.</x:v>
      </x:c>
      <x:c r="F38" s="62"/>
      <x:c r="G38" s="62"/>
      <x:c r="H38" s="68"/>
    </x:row>
    <x:row r="39" ht="34" customHeight="1">
      <x:c r="A39" s="67" t="n">
        <x:v>31</x:v>
      </x:c>
      <x:c r="B39" s="199" t="str">
        <x:v>Muss</x:v>
      </x:c>
      <x:c r="C39" s="62" t="str">
        <x:v>Schülerprofil – Accessibility</x:v>
      </x:c>
      <x:c r="D39" s="62" t="str">
        <x:v>Tastatur und Fokus</x:v>
      </x:c>
      <x:c r="E39" s="62" t="str">
        <x:v>Alle Profilbereiche und Aktionen sind in sinnvoller Reihenfolge per Tastatur erreichbar; Fokus bleibt sichtbar.</x:v>
      </x:c>
      <x:c r="F39" s="62"/>
      <x:c r="G39" s="62"/>
      <x:c r="H39" s="68"/>
    </x:row>
    <x:row r="40" ht="34" customHeight="1">
      <x:c r="A40" s="67" t="n">
        <x:v>32</x:v>
      </x:c>
      <x:c r="B40" s="200" t="str">
        <x:v>Soll</x:v>
      </x:c>
      <x:c r="C40" s="62" t="str">
        <x:v>Schülerprofil – Accessibility</x:v>
      </x:c>
      <x:c r="D40" s="62" t="str">
        <x:v>Reduced Motion</x:v>
      </x:c>
      <x:c r="E40" s="62" t="str">
        <x:v>Alle Zustände wechseln ohne notwendige Animation; keine Information hängt von Bewegung ab.</x:v>
      </x:c>
      <x:c r="F40" s="62"/>
      <x:c r="G40" s="62"/>
      <x:c r="H40" s="68"/>
    </x:row>
    <x:row r="41" ht="34" customHeight="1">
      <x:c r="A41" s="67" t="n">
        <x:v>33</x:v>
      </x:c>
      <x:c r="B41" s="199" t="str">
        <x:v>Muss</x:v>
      </x:c>
      <x:c r="C41" s="62" t="str">
        <x:v>Lernentwicklungsbericht</x:v>
      </x:c>
      <x:c r="D41" s="62" t="str">
        <x:v>Entwurf anlegen</x:v>
      </x:c>
      <x:c r="E41" s="62" t="str">
        <x:v>Berichtsentwurf anlegen, Texte erfassen, speichern, schließen und erneut öffnen.</x:v>
      </x:c>
      <x:c r="F41" s="62"/>
      <x:c r="G41" s="62"/>
      <x:c r="H41" s="68"/>
    </x:row>
    <x:row r="42" ht="34" customHeight="1">
      <x:c r="A42" s="67" t="n">
        <x:v>34</x:v>
      </x:c>
      <x:c r="B42" s="199" t="str">
        <x:v>Muss</x:v>
      </x:c>
      <x:c r="C42" s="62" t="str">
        <x:v>Lernentwicklungsbericht</x:v>
      </x:c>
      <x:c r="D42" s="62" t="str">
        <x:v>Kompetenzen und Belege</x:v>
      </x:c>
      <x:c r="E42" s="62" t="str">
        <x:v>Auswahl bleibt bei Fachwechsel, Filterung und Wiederöffnung erhalten.</x:v>
      </x:c>
      <x:c r="F42" s="62"/>
      <x:c r="G42" s="62"/>
      <x:c r="H42" s="68"/>
    </x:row>
    <x:row r="43" ht="34" customHeight="1">
      <x:c r="A43" s="67" t="n">
        <x:v>35</x:v>
      </x:c>
      <x:c r="B43" s="200" t="str">
        <x:v>Soll</x:v>
      </x:c>
      <x:c r="C43" s="62" t="str">
        <x:v>Lernentwicklungsbericht</x:v>
      </x:c>
      <x:c r="D43" s="62" t="str">
        <x:v>Historische Referenzen</x:v>
      </x:c>
      <x:c r="E43" s="62" t="str">
        <x:v>Vorbereitete historische Kompetenz oder nicht verfügbarer Beleg wird gekennzeichnet und nicht still entfernt.</x:v>
      </x:c>
      <x:c r="F43" s="62"/>
      <x:c r="G43" s="62"/>
      <x:c r="H43" s="68"/>
    </x:row>
    <x:row r="44" ht="34" customHeight="1">
      <x:c r="A44" s="69" t="n">
        <x:v>36</x:v>
      </x:c>
      <x:c r="B44" s="201" t="str">
        <x:v>Muss</x:v>
      </x:c>
      <x:c r="C44" s="70" t="str">
        <x:v>Lernentwicklungsbericht</x:v>
      </x:c>
      <x:c r="D44" s="70" t="str">
        <x:v>Vorschau</x:v>
      </x:c>
      <x:c r="E44" s="70" t="str">
        <x:v>Berichtsvorschau ist vollständig, lesbar und entspricht dem Entwurf.</x:v>
      </x:c>
      <x:c r="F44" s="70"/>
      <x:c r="G44" s="70"/>
      <x:c r="H44" s="71"/>
    </x:row>
    <x:row r="45" ht="34" customHeight="1">
      <x:c r="A45" s="62" t="n">
        <x:v>37</x:v>
      </x:c>
      <x:c r="B45" s="200" t="str">
        <x:v>Soll</x:v>
      </x:c>
      <x:c r="C45" s="62" t="str">
        <x:v>Lernentwicklungsbericht</x:v>
      </x:c>
      <x:c r="D45" s="62" t="str">
        <x:v>Entwurfs-PDF</x:v>
      </x:c>
      <x:c r="E45" s="62" t="str">
        <x:v>Vorhandenes PDF aus dem Entwurf wird weiterhin korrekt erzeugt; es ist kein finales Revisions-PDF.</x:v>
      </x:c>
      <x:c r="F45" s="62"/>
      <x:c r="G45" s="62"/>
      <x:c r="H45" s="62"/>
    </x:row>
    <x:row r="46" ht="34" customHeight="1">
      <x:c r="A46" s="62" t="n">
        <x:v>38</x:v>
      </x:c>
      <x:c r="B46" s="199" t="str">
        <x:v>Muss</x:v>
      </x:c>
      <x:c r="C46" s="62" t="str">
        <x:v>Bericht finalisieren</x:v>
      </x:c>
      <x:c r="D46" s="62" t="str">
        <x:v>Status Entwurf</x:v>
      </x:c>
      <x:c r="E46" s="62" t="str">
        <x:v>Vor der ersten Finalisierung wird der Status „Entwurf“ verständlich angezeigt.</x:v>
      </x:c>
      <x:c r="F46" s="62"/>
      <x:c r="G46" s="62"/>
      <x:c r="H46" s="62"/>
    </x:row>
    <x:row r="47" ht="34" customHeight="1">
      <x:c r="A47" s="62" t="n">
        <x:v>39</x:v>
      </x:c>
      <x:c r="B47" s="199" t="str">
        <x:v>Muss</x:v>
      </x:c>
      <x:c r="C47" s="62" t="str">
        <x:v>Bericht finalisieren</x:v>
      </x:c>
      <x:c r="D47" s="62" t="str">
        <x:v>Erstfinalisierung</x:v>
      </x:c>
      <x:c r="E47" s="62" t="str">
        <x:v>Entwurf speichern, validieren, Zusammenfassung prüfen, Checkbox bestätigen und Revision 1 erzeugen.</x:v>
      </x:c>
      <x:c r="F47" s="62"/>
      <x:c r="G47" s="62"/>
      <x:c r="H47" s="62"/>
    </x:row>
    <x:row r="48" ht="34" customHeight="1">
      <x:c r="A48" s="62" t="n">
        <x:v>40</x:v>
      </x:c>
      <x:c r="B48" s="199" t="str">
        <x:v>Muss</x:v>
      </x:c>
      <x:c r="C48" s="62" t="str">
        <x:v>Bericht finalisieren</x:v>
      </x:c>
      <x:c r="D48" s="62" t="str">
        <x:v>Lehrkraft-Anzeigename</x:v>
      </x:c>
      <x:c r="E48" s="62" t="str">
        <x:v>Name ist sinnvoll vorbelegt, Pflichtfeld und wird getrimmt gespeichert.</x:v>
      </x:c>
      <x:c r="F48" s="62"/>
      <x:c r="G48" s="62"/>
      <x:c r="H48" s="62"/>
    </x:row>
    <x:row r="49" ht="34" customHeight="1">
      <x:c r="A49" s="62" t="n">
        <x:v>41</x:v>
      </x:c>
      <x:c r="B49" s="199" t="str">
        <x:v>Muss</x:v>
      </x:c>
      <x:c r="C49" s="62" t="str">
        <x:v>Bericht finalisieren</x:v>
      </x:c>
      <x:c r="D49" s="62" t="str">
        <x:v>Validierungsfehler</x:v>
      </x:c>
      <x:c r="E49" s="62" t="str">
        <x:v>Fehlende Inhalte oder ungültige Referenzen erscheinen handlungsorientiert inline.</x:v>
      </x:c>
      <x:c r="F49" s="62"/>
      <x:c r="G49" s="62"/>
      <x:c r="H49" s="62"/>
    </x:row>
    <x:row r="50" ht="34" customHeight="1">
      <x:c r="A50" s="62" t="n">
        <x:v>42</x:v>
      </x:c>
      <x:c r="B50" s="200" t="str">
        <x:v>Soll</x:v>
      </x:c>
      <x:c r="C50" s="62" t="str">
        <x:v>Bericht finalisieren</x:v>
      </x:c>
      <x:c r="D50" s="62" t="str">
        <x:v>Tastaturbestätigung</x:v>
      </x:c>
      <x:c r="E50" s="62" t="str">
        <x:v>Checkbox und Bestätigung funktionieren mit Leertaste beziehungsweise Enter.</x:v>
      </x:c>
      <x:c r="F50" s="62"/>
      <x:c r="G50" s="62"/>
      <x:c r="H50" s="62"/>
    </x:row>
    <x:row r="51" ht="34" customHeight="1">
      <x:c r="A51" s="62" t="n">
        <x:v>43</x:v>
      </x:c>
      <x:c r="B51" s="199" t="str">
        <x:v>Muss</x:v>
      </x:c>
      <x:c r="C51" s="62" t="str">
        <x:v>Bericht finalisieren</x:v>
      </x:c>
      <x:c r="D51" s="62" t="str">
        <x:v>Status Finalisiert</x:v>
      </x:c>
      <x:c r="E51" s="62" t="str">
        <x:v>Nach Finalisierung erscheint „Finalisiert · Revision 1“ mit Metadaten.</x:v>
      </x:c>
      <x:c r="F51" s="62"/>
      <x:c r="G51" s="62"/>
      <x:c r="H51" s="62"/>
    </x:row>
    <x:row r="52" ht="34" customHeight="1">
      <x:c r="A52" s="62" t="n">
        <x:v>44</x:v>
      </x:c>
      <x:c r="B52" s="199" t="str">
        <x:v>Muss</x:v>
      </x:c>
      <x:c r="C52" s="62" t="str">
        <x:v>Bericht finalisieren</x:v>
      </x:c>
      <x:c r="D52" s="62" t="str">
        <x:v>Finale Ansicht</x:v>
      </x:c>
      <x:c r="E52" s="62" t="str">
        <x:v>Revision öffnet vollständig schreibgeschützt und ausschließlich aus dem Snapshot.</x:v>
      </x:c>
      <x:c r="F52" s="62"/>
      <x:c r="G52" s="62"/>
      <x:c r="H52" s="62"/>
    </x:row>
    <x:row r="53" ht="34" customHeight="1">
      <x:c r="A53" s="62" t="n">
        <x:v>45</x:v>
      </x:c>
      <x:c r="B53" s="199" t="str">
        <x:v>Muss</x:v>
      </x:c>
      <x:c r="C53" s="62" t="str">
        <x:v>Bericht finalisieren</x:v>
      </x:c>
      <x:c r="D53" s="62" t="str">
        <x:v>Draft nach Finalisierung ändern</x:v>
      </x:c>
      <x:c r="E53" s="62" t="str">
        <x:v>Änderung am Entwurf führt zum Status „Entwurf geändert“, Revision 1 bleibt unverändert.</x:v>
      </x:c>
      <x:c r="F53" s="62"/>
      <x:c r="G53" s="62"/>
      <x:c r="H53" s="62"/>
    </x:row>
    <x:row r="54" ht="34" customHeight="1">
      <x:c r="A54" s="62" t="n">
        <x:v>46</x:v>
      </x:c>
      <x:c r="B54" s="199" t="str">
        <x:v>Muss</x:v>
      </x:c>
      <x:c r="C54" s="62" t="str">
        <x:v>Bericht finalisieren</x:v>
      </x:c>
      <x:c r="D54" s="62" t="str">
        <x:v>Folgerevision</x:v>
      </x:c>
      <x:c r="E54" s="62" t="str">
        <x:v>Erneute Finalisierung erzeugt Revision 2 und setzt Revision 1 auf „Ersetzt“.</x:v>
      </x:c>
      <x:c r="F54" s="62"/>
      <x:c r="G54" s="62"/>
      <x:c r="H54" s="62"/>
    </x:row>
    <x:row r="55" ht="34" customHeight="1">
      <x:c r="A55" s="62" t="n">
        <x:v>47</x:v>
      </x:c>
      <x:c r="B55" s="199" t="str">
        <x:v>Muss</x:v>
      </x:c>
      <x:c r="C55" s="62" t="str">
        <x:v>Bericht finalisieren</x:v>
      </x:c>
      <x:c r="D55" s="62" t="str">
        <x:v>Revisionshistorie</x:v>
      </x:c>
      <x:c r="E55" s="62" t="str">
        <x:v>Neueste Revision steht oben; „Aktuell“ und „Ersetzt“ sind eindeutig; Aktion nur „Öffnen“.</x:v>
      </x:c>
      <x:c r="F55" s="62"/>
      <x:c r="G55" s="62"/>
      <x:c r="H55" s="62"/>
    </x:row>
    <x:row r="56" ht="34" customHeight="1">
      <x:c r="A56" s="62" t="n">
        <x:v>48</x:v>
      </x:c>
      <x:c r="B56" s="200" t="str">
        <x:v>Soll</x:v>
      </x:c>
      <x:c r="C56" s="62" t="str">
        <x:v>Bericht finalisieren</x:v>
      </x:c>
      <x:c r="D56" s="62" t="str">
        <x:v>Revisionsmetadaten</x:v>
      </x:c>
      <x:c r="E56" s="62" t="str">
        <x:v>Datum, Lehrkraft, Zeitraum und Berichtstyp sind sichtbar; RPV-ID und Hash nur im Tooltip.</x:v>
      </x:c>
      <x:c r="F56" s="62"/>
      <x:c r="G56" s="62"/>
      <x:c r="H56" s="62"/>
    </x:row>
    <x:row r="57" ht="34" customHeight="1">
      <x:c r="A57" s="62" t="n">
        <x:v>49</x:v>
      </x:c>
      <x:c r="B57" s="199" t="str">
        <x:v>Muss</x:v>
      </x:c>
      <x:c r="C57" s="62" t="str">
        <x:v>Bericht finalisieren</x:v>
      </x:c>
      <x:c r="D57" s="62" t="str">
        <x:v>Snapshot bleibt stabil</x:v>
      </x:c>
      <x:c r="E57" s="62" t="str">
        <x:v>Nach späterer Draftänderung bleiben Inhalte von Revision 1 und Revision 2 unverändert.</x:v>
      </x:c>
      <x:c r="F57" s="62"/>
      <x:c r="G57" s="62"/>
      <x:c r="H57" s="62"/>
    </x:row>
    <x:row r="58" ht="34" customHeight="1">
      <x:c r="A58" s="62" t="n">
        <x:v>50</x:v>
      </x:c>
      <x:c r="B58" s="199" t="str">
        <x:v>Muss</x:v>
      </x:c>
      <x:c r="C58" s="62" t="str">
        <x:v>Bericht finalisieren</x:v>
      </x:c>
      <x:c r="D58" s="62" t="str">
        <x:v>Zeitraum-/Typschutz</x:v>
      </x:c>
      <x:c r="E58" s="62" t="str">
        <x:v>Abweichender Zeitraum oder Berichtstyp erklärt, dass ein neuer Berichtsentwurf erforderlich ist.</x:v>
      </x:c>
      <x:c r="F58" s="62"/>
      <x:c r="G58" s="62"/>
      <x:c r="H58" s="62"/>
    </x:row>
    <x:row r="59" ht="34" customHeight="1">
      <x:c r="A59" s="62" t="n">
        <x:v>51</x:v>
      </x:c>
      <x:c r="B59" s="199" t="str">
        <x:v>Muss</x:v>
      </x:c>
      <x:c r="C59" s="62" t="str">
        <x:v>Lernentwicklungsgespräch</x:v>
      </x:c>
      <x:c r="D59" s="62" t="str">
        <x:v>LEG-Draft</x:v>
      </x:c>
      <x:c r="E59" s="62" t="str">
        <x:v>Vorbereitung, Kompetenz- und Belegauswahl speichern und wieder öffnen.</x:v>
      </x:c>
      <x:c r="F59" s="62"/>
      <x:c r="G59" s="62"/>
      <x:c r="H59" s="62"/>
    </x:row>
    <x:row r="60" ht="34" customHeight="1">
      <x:c r="A60" s="62" t="n">
        <x:v>52</x:v>
      </x:c>
      <x:c r="B60" s="199" t="str">
        <x:v>Muss</x:v>
      </x:c>
      <x:c r="C60" s="62" t="str">
        <x:v>Lernentwicklungsgespräch</x:v>
      </x:c>
      <x:c r="D60" s="62" t="str">
        <x:v>Sechs Gesprächsphasen</x:v>
      </x:c>
      <x:c r="E60" s="62" t="str">
        <x:v>Alle sechs Phasen sind logisch, vollständig und unterstützen ein echtes Gespräch.</x:v>
      </x:c>
      <x:c r="F60" s="62"/>
      <x:c r="G60" s="62"/>
      <x:c r="H60" s="62"/>
    </x:row>
    <x:row r="61" ht="34" customHeight="1">
      <x:c r="A61" s="62" t="n">
        <x:v>53</x:v>
      </x:c>
      <x:c r="B61" s="199" t="str">
        <x:v>Muss</x:v>
      </x:c>
      <x:c r="C61" s="62" t="str">
        <x:v>Lernentwicklungsgespräch</x:v>
      </x:c>
      <x:c r="D61" s="62" t="str">
        <x:v>Vereinbarungen</x:v>
      </x:c>
      <x:c r="E61" s="62" t="str">
        <x:v>Gemeinsame Ziele, Unterstützung, Zuständigkeiten und Prüftermin bleiben gespeichert.</x:v>
      </x:c>
      <x:c r="F61" s="62"/>
      <x:c r="G61" s="62"/>
      <x:c r="H61" s="62"/>
    </x:row>
    <x:row r="62" ht="34" customHeight="1">
      <x:c r="A62" s="62" t="n">
        <x:v>54</x:v>
      </x:c>
      <x:c r="B62" s="199" t="str">
        <x:v>Muss</x:v>
      </x:c>
      <x:c r="C62" s="62" t="str">
        <x:v>Stundenplan</x:v>
      </x:c>
      <x:c r="D62" s="62" t="str">
        <x:v>Anlegen und bearbeiten</x:v>
      </x:c>
      <x:c r="E62" s="62" t="str">
        <x:v>Stunde anlegen, ändern, deaktivieren, reaktivieren und sicher löschen.</x:v>
      </x:c>
      <x:c r="F62" s="62"/>
      <x:c r="G62" s="62"/>
      <x:c r="H62" s="62"/>
    </x:row>
    <x:row r="63" ht="34" customHeight="1">
      <x:c r="A63" s="62" t="n">
        <x:v>55</x:v>
      </x:c>
      <x:c r="B63" s="200" t="str">
        <x:v>Soll</x:v>
      </x:c>
      <x:c r="C63" s="62" t="str">
        <x:v>Navigation</x:v>
      </x:c>
      <x:c r="D63" s="62" t="str">
        <x:v>Wege zwischen Bereichen</x:v>
      </x:c>
      <x:c r="E63" s="62" t="str">
        <x:v>Dashboard, Kind, Beobachtung, Bericht, Revision, LEG und Stundenplan sind ohne Sackgassen erreichbar.</x:v>
      </x:c>
      <x:c r="F63" s="62"/>
      <x:c r="G63" s="62"/>
      <x:c r="H63" s="62"/>
    </x:row>
    <x:row r="64" ht="34" customHeight="1">
      <x:c r="A64" s="62" t="n">
        <x:v>56</x:v>
      </x:c>
      <x:c r="B64" s="200" t="str">
        <x:v>Soll</x:v>
      </x:c>
      <x:c r="C64" s="62" t="str">
        <x:v>Allgemein</x:v>
      </x:c>
      <x:c r="D64" s="62" t="str">
        <x:v>Fenstergrößen</x:v>
      </x:c>
      <x:c r="E64" s="62" t="str">
        <x:v>App bleibt bei 1400×900 und 1180×760 lesbar; keine wichtigen Inhalte werden abgeschnitten.</x:v>
      </x:c>
      <x:c r="F64" s="62"/>
      <x:c r="G64" s="62"/>
      <x:c r="H64" s="62"/>
    </x:row>
    <x:row r="65" ht="34" customHeight="1">
      <x:c r="A65" s="62" t="n">
        <x:v>57</x:v>
      </x:c>
      <x:c r="B65" s="200" t="str">
        <x:v>Soll</x:v>
      </x:c>
      <x:c r="C65" s="62" t="str">
        <x:v>Allgemein</x:v>
      </x:c>
      <x:c r="D65" s="62" t="str">
        <x:v>Tastatur und Reduced Motion</x:v>
      </x:c>
      <x:c r="E65" s="62" t="str">
        <x:v>Bedienung bleibt mit Tastatur und reduzierter Bewegung verständlich.</x:v>
      </x:c>
      <x:c r="F65" s="62"/>
      <x:c r="G65" s="62"/>
      <x:c r="H65" s="62"/>
    </x:row>
    <x:row r="66" ht="34" customHeight="1">
      <x:c r="A66" s="62" t="n">
        <x:v>58</x:v>
      </x:c>
      <x:c r="B66" s="200" t="str">
        <x:v>Soll</x:v>
      </x:c>
      <x:c r="C66" s="62" t="str">
        <x:v>Allgemein</x:v>
      </x:c>
      <x:c r="D66" s="62" t="str">
        <x:v>Freier Arbeitsablauf</x:v>
      </x:c>
      <x:c r="E66" s="62" t="str">
        <x:v>Typischen Schulalltag 20–30 Minuten frei simulieren und jede Irritation notieren.</x:v>
      </x:c>
      <x:c r="F66" s="62"/>
      <x:c r="G66" s="62"/>
      <x:c r="H66" s="62"/>
    </x:row>
    <x:row r="67" ht="72" customHeight="1">
      <x:c r="A67" t="n">
        <x:v>59</x:v>
      </x:c>
      <x:c r="B67" t="str">
        <x:v>Muss</x:v>
      </x:c>
      <x:c r="C67" t="str">
        <x:v>Beobachtungen</x:v>
      </x:c>
      <x:c r="D67" t="str">
        <x:v>Bearbeiten</x:v>
      </x:c>
      <x:c r="E67" s="62" t="str">
        <x:v>Schritte: gespeicherte Beobachtung aus dem Profil öffnen, Notiz und Bewertung ändern, speichern und erneut öffnen. Erwartetes Ergebnis: Änderungen werden nur für die gewählte Beobachtung übernommen und sind im Profil nachvollziehbar.</x:v>
      </x:c>
      <x:c r="F67"/>
      <x:c r="G67"/>
      <x:c r="H67"/>
    </x:row>
    <x:row r="68" ht="72" customHeight="1">
      <x:c r="A68" t="n">
        <x:v>60</x:v>
      </x:c>
      <x:c r="B68" t="str">
        <x:v>Muss</x:v>
      </x:c>
      <x:c r="C68" t="str">
        <x:v>Beobachtungen</x:v>
      </x:c>
      <x:c r="D68" t="str">
        <x:v>Belege</x:v>
      </x:c>
      <x:c r="E68" s="62" t="str">
        <x:v>Schritte: neue Beobachtung mit einem Testdokument anlegen, Beleg prüfen, entfernen und ohne Datei erneut speichern. Erwartetes Ergebnis: Dateiname und Bezug sind verständlich; Entfernen löscht nur die Verknüpfung und der Speicherzustand bleibt korrekt.</x:v>
      </x:c>
      <x:c r="F68"/>
      <x:c r="G68"/>
      <x:c r="H68"/>
    </x:row>
    <x:row r="69" ht="72" customHeight="1">
      <x:c r="A69" t="n">
        <x:v>61</x:v>
      </x:c>
      <x:c r="B69" t="str">
        <x:v>Muss</x:v>
      </x:c>
      <x:c r="C69" t="str">
        <x:v>Bericht finalisieren</x:v>
      </x:c>
      <x:c r="D69" t="str">
        <x:v>Finales PDF</x:v>
      </x:c>
      <x:c r="E69" s="62" t="str">
        <x:v>Schritte: aktuelle finalisierte Revision öffnen, „Finales PDF erstellen“ wählen und das erzeugte PDF öffnen. Erwartetes Ergebnis: PDF stammt ausschließlich aus der aktuellen Revision, ist vollständig lesbar und zeigt einen ruhigen Artefaktstatus.</x:v>
      </x:c>
      <x:c r="F69"/>
      <x:c r="G69"/>
      <x:c r="H69"/>
    </x:row>
    <x:row r="70" ht="72" customHeight="1">
      <x:c r="A70" t="n">
        <x:v>62</x:v>
      </x:c>
      <x:c r="B70" t="str">
        <x:v>Muss</x:v>
      </x:c>
      <x:c r="C70" t="str">
        <x:v>Lernentwicklungsgespräch</x:v>
      </x:c>
      <x:c r="D70" t="str">
        <x:v>LEG abschließen</x:v>
      </x:c>
      <x:c r="E70" s="62" t="str">
        <x:v>Schritte: vollständigen gespeicherten LEG-Draft abschließen und Abschlussbestätigung prüfen. Erwartetes Ergebnis: ein unveränderlicher Abschlussstand entsteht; der Draft bleibt für spätere Korrekturen getrennt bearbeitbar.</x:v>
      </x:c>
      <x:c r="F70"/>
      <x:c r="G70"/>
      <x:c r="H70"/>
    </x:row>
    <x:row r="71" ht="72" customHeight="1">
      <x:c r="A71" t="n">
        <x:v>63</x:v>
      </x:c>
      <x:c r="B71" t="str">
        <x:v>Muss</x:v>
      </x:c>
      <x:c r="C71" t="str">
        <x:v>Lernentwicklungsgespräch</x:v>
      </x:c>
      <x:c r="D71" t="str">
        <x:v>Abschlussfehler</x:v>
      </x:c>
      <x:c r="E71" s="62" t="str">
        <x:v>Schritte: LEG mit fehlendem Pflichtinhalt oder nicht verfügbarem ausgewählten Beleg abschließen versuchen. Erwartetes Ergebnis: Abschluss wird blockiert und eine konkrete, handlungsorientierte Inline-Meldung führt zur passenden Phase.</x:v>
      </x:c>
      <x:c r="F71"/>
      <x:c r="G71"/>
      <x:c r="H71"/>
    </x:row>
    <x:row r="72" ht="72" customHeight="1">
      <x:c r="A72" t="n">
        <x:v>64</x:v>
      </x:c>
      <x:c r="B72" t="str">
        <x:v>Muss</x:v>
      </x:c>
      <x:c r="C72" t="str">
        <x:v>Lernentwicklungsgespräch</x:v>
      </x:c>
      <x:c r="D72" t="str">
        <x:v>LEG-Revision</x:v>
      </x:c>
      <x:c r="E72" s="62" t="str">
        <x:v>Schritte: abgeschlossene LEG-Revision aus der Historie öffnen und nachträglich den Draft ändern. Erwartetes Ergebnis: Revision ist vollständig schreibgeschützt, bleibt snapshotbasiert unverändert und zeigt keine Bearbeiten- oder Löschaktion.</x:v>
      </x:c>
      <x:c r="F72"/>
      <x:c r="G72"/>
      <x:c r="H72"/>
    </x:row>
    <x:row r="73" ht="72" customHeight="1">
      <x:c r="A73" t="n">
        <x:v>65</x:v>
      </x:c>
      <x:c r="B73" t="str">
        <x:v>Muss</x:v>
      </x:c>
      <x:c r="C73" t="str">
        <x:v>Lernentwicklungsgespräch</x:v>
      </x:c>
      <x:c r="D73" t="str">
        <x:v>Finales LEG-PDF</x:v>
      </x:c>
      <x:c r="E73" s="62" t="str">
        <x:v>Schritte: aktuelle abgeschlossene LEG-Revision öffnen, „Finales PDF erstellen“ wählen und das PDF öffnen. Erwartetes Ergebnis: PDF wird nur aus der aktuellen Revision erzeugt, ist vollständig lesbar und die Artefaktinformation bleibt nachvollziehbar.</x:v>
      </x:c>
      <x:c r="F73"/>
      <x:c r="G73"/>
      <x:c r="H73"/>
    </x:row>
  </x:sheetData>
  <x:mergeCells>
    <x:mergeCell ref="A1:H1"/>
    <x:mergeCell ref="D3:H6"/>
  </x:mergeCells>
  <x:conditionalFormatting sqref="F9:F44">
    <x:cfRule type="expression" dxfId="0" priority="1">
      <x:formula>F9="Bestanden"</x:formula>
    </x:cfRule>
    <x:cfRule type="expression" dxfId="1" priority="2">
      <x:formula>F9="Teilweise"</x:formula>
    </x:cfRule>
    <x:cfRule type="expression" dxfId="2" priority="3">
      <x:formula>F9="Nicht bestanden"</x:formula>
    </x:cfRule>
  </x:conditionalFormatting>
  <x:conditionalFormatting sqref="B9:B44">
    <x:cfRule type="expression" dxfId="3" priority="4">
      <x:formula>B9="Muss"</x:formula>
    </x:cfRule>
    <x:cfRule type="expression" dxfId="4" priority="5">
      <x:formula>B9="Soll"</x:formula>
    </x:cfRule>
    <x:cfRule type="expression" dxfId="5" priority="6">
      <x:formula>B9="Optional"</x:formula>
    </x:cfRule>
  </x:conditionalFormatting>
  <x:dataValidations count="4">
    <x:dataValidation type="list" sqref="B9:B44">
      <x:formula1>Auswahllisten!$B$2:$B$4</x:formula1>
    </x:dataValidation>
    <x:dataValidation type="list" sqref="F9:F44">
      <x:formula1>Auswahllisten!$A$2:$A$4</x:formula1>
    </x:dataValidation>
    <x:dataValidation type="list" sqref="B45:B66">
      <x:formula1>Auswahllisten!$B$2:$B$4</x:formula1>
    </x:dataValidation>
    <x:dataValidation type="list" sqref="F45:F66">
      <x:formula1>Auswahllisten!$A$2:$A$4</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8" hidden="0" customWidth="1"/>
    <x:col min="2" max="2" width="30" hidden="0" customWidth="1"/>
    <x:col min="3" max="3" width="30" hidden="0" customWidth="1"/>
    <x:col min="4" max="4" width="48" hidden="0" customWidth="1"/>
    <x:col min="5" max="5" width="42" hidden="0" customWidth="1"/>
    <x:col min="6" max="6" width="40" hidden="0" customWidth="1"/>
    <x:col min="7" max="7" width="38" hidden="0" customWidth="1"/>
    <x:col min="8" max="8" width="28" hidden="0" customWidth="1"/>
  </x:cols>
  <x:sheetData>
    <x:row r="1">
      <x:c r="A1" s="33" t="str">
        <x:v>Funktions- und Testhinweise</x:v>
      </x:c>
      <x:c r="B1" s="33"/>
      <x:c r="C1" s="33"/>
      <x:c r="D1" s="33"/>
      <x:c r="E1" s="33"/>
      <x:c r="F1" s="33"/>
      <x:c r="G1" s="33"/>
      <x:c r="H1" s="33"/>
    </x:row>
    <x:row r="2">
      <x:c r="A2" s="83" t="str">
        <x:v>Arbeite die Tests möglichst in der Reihenfolge des Testplans ab. Für das Schülerprofil mehrere vorbereitete Kinder mit vielen, wenigen, fehlenden und historischen Dokumentationen verwenden. Berichtrevisionen, Dashboard, LEG und Stundenplan bleiben unverändert Bestandteil des Pilottests.</x:v>
      </x:c>
      <x:c r="B2" s="83"/>
      <x:c r="C2" s="83"/>
      <x:c r="D2" s="83"/>
      <x:c r="E2" s="83"/>
      <x:c r="F2" s="83"/>
      <x:c r="G2" s="83"/>
      <x:c r="H2" s="83"/>
    </x:row>
    <x:row r="3">
      <x:c r="A3" s="83"/>
      <x:c r="B3" s="83"/>
      <x:c r="C3" s="83"/>
      <x:c r="D3" s="83"/>
      <x:c r="E3" s="83"/>
      <x:c r="F3" s="83"/>
      <x:c r="G3" s="83"/>
      <x:c r="H3" s="83"/>
    </x:row>
    <x:row r="5">
      <x:c r="A5" s="13" t="str">
        <x:v>Test-Nr.</x:v>
      </x:c>
      <x:c r="B5" s="14" t="str">
        <x:v>Wo?</x:v>
      </x:c>
      <x:c r="C5" s="14" t="str">
        <x:v>Vorbereitung</x:v>
      </x:c>
      <x:c r="D5" s="14" t="str">
        <x:v>Konkrete Schritte</x:v>
      </x:c>
      <x:c r="E5" s="14" t="str">
        <x:v>Erwartung</x:v>
      </x:c>
      <x:c r="F5" s="14" t="str">
        <x:v>Worauf achten?</x:v>
      </x:c>
      <x:c r="G5" s="14" t="str">
        <x:v>Bestanden, wenn …</x:v>
      </x:c>
      <x:c r="H5" s="15" t="str">
        <x:v>Bei Auffälligkeit</x:v>
      </x:c>
    </x:row>
    <x:row r="6" ht="48" customHeight="1">
      <x:c r="A6" s="132" t="n">
        <x:v>1</x:v>
      </x:c>
      <x:c r="B6" s="133" t="str">
        <x:v>Navigation → Dashboard</x:v>
      </x:c>
      <x:c r="C6" s="133" t="str">
        <x:v>Zeitpunkt mit laufender Stunde wählen.</x:v>
      </x:c>
      <x:c r="D6" s="133" t="str">
        <x:v>Dashboard öffnen; Hero-Karte mit Stundenplan vergleichen; „Kinder anzeigen“ öffnen.</x:v>
      </x:c>
      <x:c r="E6" s="133" t="str">
        <x:v>Aktuelle Stunde, Fach, Ziel und Zeit stimmen.</x:v>
      </x:c>
      <x:c r="F6" s="133" t="str">
        <x:v>Ist sofort klar, was jetzt ansteht?</x:v>
      </x:c>
      <x:c r="G6" s="133" t="str">
        <x:v>Kontext ist korrekt und Aktion führt zur passenden Kinderansicht.</x:v>
      </x:c>
      <x:c r="H6" s="134" t="str">
        <x:v>Bug/UX, Test 1.</x:v>
      </x:c>
    </x:row>
    <x:row r="7" ht="48" customHeight="1">
      <x:c r="A7" s="138" t="n">
        <x:v>2</x:v>
      </x:c>
      <x:c r="B7" s="139" t="str">
        <x:v>Dashboard-Kopf und Hero-Karte</x:v>
      </x:c>
      <x:c r="C7" s="139" t="str">
        <x:v>Laufende Stunde.</x:v>
      </x:c>
      <x:c r="D7" s="139" t="str">
        <x:v>Hero-Karte und Kopfbereich prüfen.</x:v>
      </x:c>
      <x:c r="E7" s="139" t="str">
        <x:v>Hero enthält nur „Kinder anzeigen“; globales „+ Beobachtung“ bleibt; Kinderkarten haben „Beobachten“.</x:v>
      </x:c>
      <x:c r="F7" s="139" t="str">
        <x:v>Keine doppelte Hauptaktion.</x:v>
      </x:c>
      <x:c r="G7" s="139" t="str">
        <x:v>Genau diese drei Ebenen sind sauber getrennt.</x:v>
      </x:c>
      <x:c r="H7" s="140" t="str">
        <x:v>UX, Test 2, Screenshot.</x:v>
      </x:c>
    </x:row>
    <x:row r="8" ht="48" customHeight="1">
      <x:c r="A8" s="138" t="n">
        <x:v>3</x:v>
      </x:c>
      <x:c r="B8" s="139" t="str">
        <x:v>Navigation → Dashboard</x:v>
      </x:c>
      <x:c r="C8" s="139" t="str">
        <x:v>Vor Unterricht oder zwischen zwei Stunden.</x:v>
      </x:c>
      <x:c r="D8" s="139" t="str">
        <x:v>Dashboard zu passender Zeit öffnen; Tagesleiste prüfen.</x:v>
      </x:c>
      <x:c r="E8" s="139" t="str">
        <x:v>Nächste Stunde wird korrekt und ruhig angezeigt.</x:v>
      </x:c>
      <x:c r="F8" s="139" t="str">
        <x:v>Pause darf nicht wie laufender Unterricht wirken.</x:v>
      </x:c>
      <x:c r="G8" s="139" t="str">
        <x:v>Zeit und Kontext stimmen.</x:v>
      </x:c>
      <x:c r="H8" s="140" t="str">
        <x:v>Bug/UX, Test 3.</x:v>
      </x:c>
    </x:row>
    <x:row r="9" ht="48" customHeight="1">
      <x:c r="A9" s="138" t="n">
        <x:v>4</x:v>
      </x:c>
      <x:c r="B9" s="139" t="str">
        <x:v>Dashboard → Passende Kinder</x:v>
      </x:c>
      <x:c r="C9" s="139" t="str">
        <x:v>Stunde mit Gruppe/Kurs.</x:v>
      </x:c>
      <x:c r="D9" s="139" t="str">
        <x:v>Vorschläge lesen; zwei Kinder prüfen; ein Kind über „Beobachten“ öffnen.</x:v>
      </x:c>
      <x:c r="E9" s="139" t="str">
        <x:v>Kinder gehören zum Unterrichtskontext; Dialog ist vorbelegt.</x:v>
      </x:c>
      <x:c r="F9" s="139" t="str">
        <x:v>Reihenfolge nachvollziehbar? Maximal fünf?</x:v>
      </x:c>
      <x:c r="G9" s="139" t="str">
        <x:v>Passender Kontext und Kind sind gesetzt.</x:v>
      </x:c>
      <x:c r="H9" s="140" t="str">
        <x:v>Bug/Produktentscheidung, Test 4.</x:v>
      </x:c>
    </x:row>
    <x:row r="10" ht="48" customHeight="1">
      <x:c r="A10" s="138" t="n">
        <x:v>5</x:v>
      </x:c>
      <x:c r="B10" s="139" t="str">
        <x:v>Dashboard → Dokumentationsmatrix</x:v>
      </x:c>
      <x:c r="C10" s="139" t="str">
        <x:v>Acht-Monats-Testdaten.</x:v>
      </x:c>
      <x:c r="D10" s="139" t="str">
        <x:v>Mehrere Fächer/Gruppen vergleichen.</x:v>
      </x:c>
      <x:c r="E10" s="139" t="str">
        <x:v>Matrix zeigt Dokumentationsmenge, keine Leistung.</x:v>
      </x:c>
      <x:c r="F10" s="139" t="str">
        <x:v>Wirkt die Darstellung neutral?</x:v>
      </x:c>
      <x:c r="G10" s="139" t="str">
        <x:v>Keine Bewertungsinterpretation.</x:v>
      </x:c>
      <x:c r="H10" s="140" t="str">
        <x:v>UX, Test 5.</x:v>
      </x:c>
    </x:row>
    <x:row r="11" ht="48" customHeight="1">
      <x:c r="A11" s="144" t="n">
        <x:v>6</x:v>
      </x:c>
      <x:c r="B11" s="145" t="str">
        <x:v>Dashboard oder Schülerprofil → Beobachten</x:v>
      </x:c>
      <x:c r="C11" s="145" t="str">
        <x:v>Kind und Fach wählen.</x:v>
      </x:c>
      <x:c r="D11" s="145" t="str">
        <x:v>Kompetenz, Bewertung und Notiz erfassen; speichern; Profil erneut öffnen.</x:v>
      </x:c>
      <x:c r="E11" s="145" t="str">
        <x:v>Beobachtung ist vollständig gespeichert.</x:v>
      </x:c>
      <x:c r="F11" s="145" t="str">
        <x:v>Speichern sichtbar und schnell?</x:v>
      </x:c>
      <x:c r="G11" s="145" t="str">
        <x:v>Eintrag erscheint korrekt.</x:v>
      </x:c>
      <x:c r="H11" s="146" t="str">
        <x:v>Bug/UX, Test 6.</x:v>
      </x:c>
    </x:row>
    <x:row r="12" ht="48" customHeight="1">
      <x:c r="A12" s="144" t="n">
        <x:v>7</x:v>
      </x:c>
      <x:c r="B12" s="145" t="str">
        <x:v>Neuer Beobachtungsdialog → Schnellbeobachtung</x:v>
      </x:c>
      <x:c r="C12" s="145" t="str">
        <x:v>Aktives Kind.</x:v>
      </x:c>
      <x:c r="D12" s="145" t="str">
        <x:v>Schnellbeobachtung aktivieren; ohne Notiz speichern versuchen; dann Notiz ergänzen; später bearbeiten.</x:v>
      </x:c>
      <x:c r="E12" s="145" t="str">
        <x:v>Notizpflicht wird erklärt; spätere Ergänzung möglich.</x:v>
      </x:c>
      <x:c r="F12" s="145" t="str">
        <x:v>Keine Kompetenzpflicht im Schnellmodus.</x:v>
      </x:c>
      <x:c r="G12" s="145" t="str">
        <x:v>Regeln funktionieren verständlich.</x:v>
      </x:c>
      <x:c r="H12" s="146" t="str">
        <x:v>Bug/UX, Test 7.</x:v>
      </x:c>
    </x:row>
    <x:row r="13" ht="48" customHeight="1">
      <x:c r="A13" s="144" t="n">
        <x:v>8</x:v>
      </x:c>
      <x:c r="B13" s="145" t="str">
        <x:v>Beobachtungsdialog → Kompetenzauswahl</x:v>
      </x:c>
      <x:c r="C13" s="145" t="str">
        <x:v>Fach mit vielen Kompetenzen.</x:v>
      </x:c>
      <x:c r="D13" s="145" t="str">
        <x:v>Bereich und Thema öffnen; Suche nutzen; Kompetenz auswählen.</x:v>
      </x:c>
      <x:c r="E13" s="145" t="str">
        <x:v>Struktur ist verständlich und Auswahl bleibt erhalten.</x:v>
      </x:c>
      <x:c r="F13" s="145" t="str">
        <x:v>Schrift, Ein-/Ausklappen, Klickwege.</x:v>
      </x:c>
      <x:c r="G13" s="145" t="str">
        <x:v>Kompetenz wird schnell gefunden.</x:v>
      </x:c>
      <x:c r="H13" s="146" t="str">
        <x:v>UX, Test 8.</x:v>
      </x:c>
    </x:row>
    <x:row r="14" ht="48" customHeight="1">
      <x:c r="A14" s="150" t="n">
        <x:v>9</x:v>
      </x:c>
      <x:c r="B14" s="151" t="str">
        <x:v>Schülerprofil → Überblick</x:v>
      </x:c>
      <x:c r="C14" s="151" t="str">
        <x:v>Gut dokumentiertes Kind wählen; Timer bereithalten.</x:v>
      </x:c>
      <x:c r="D14" s="151" t="str">
        <x:v>Profil öffnen; drei Sekunden ansehen; dann ohne Nachlesen Kind, Stammgruppe, Kurse, Dokumentationsstand und Hauptaktion benennen.</x:v>
      </x:c>
      <x:c r="E14" s="151" t="str">
        <x:v>Die fünf Informationen sind unmittelbar erfassbar.</x:v>
      </x:c>
      <x:c r="F14" s="151" t="str">
        <x:v>Blickführung, Weißraum, konkurrierende Karten oder zu kleine Schrift.</x:v>
      </x:c>
      <x:c r="G14" s="151" t="str">
        <x:v>Laura nennt alle fünf Informationen nach höchstens drei Sekunden korrekt.</x:v>
      </x:c>
      <x:c r="H14" s="152" t="str">
        <x:v>UX, Test 9, Screenshot des ersten Eindrucks.</x:v>
      </x:c>
    </x:row>
    <x:row r="15" ht="48" customHeight="1">
      <x:c r="A15" s="150" t="n">
        <x:v>10</x:v>
      </x:c>
      <x:c r="B15" s="151" t="str">
        <x:v>Schülerprofil → Profilkopf</x:v>
      </x:c>
      <x:c r="C15" s="151" t="str">
        <x:v>Kind mit mehreren Kursen wählen.</x:v>
      </x:c>
      <x:c r="D15" s="151" t="str">
        <x:v>Name, Stammgruppe und alle sichtbaren Kurse mit der Schülerauswahl vergleichen.</x:v>
      </x:c>
      <x:c r="E15" s="151" t="str">
        <x:v>Kind und organisatorischer Kontext sind eindeutig und nicht doppelt erklärt.</x:v>
      </x:c>
      <x:c r="F15" s="151" t="str">
        <x:v>Abgeschnittene Kursnamen, missverständliche Chips, wiederholte Basisdaten.</x:v>
      </x:c>
      <x:c r="G15" s="151" t="str">
        <x:v>Alle Angaben stimmen und lassen sich ohne Zusatzwissen verstehen.</x:v>
      </x:c>
      <x:c r="H15" s="152" t="str">
        <x:v>Bug/UX, Test 10.</x:v>
      </x:c>
    </x:row>
    <x:row r="16" ht="48" customHeight="1">
      <x:c r="A16" s="156" t="n">
        <x:v>11</x:v>
      </x:c>
      <x:c r="B16" s="157" t="str">
        <x:v>Schülerprofil → Profilkopf</x:v>
      </x:c>
      <x:c r="C16" s="157" t="str">
        <x:v>Kind mit vorhandener und fehlender Dokumentation vergleichen.</x:v>
      </x:c>
      <x:c r="D16" s="157" t="str">
        <x:v>Ring und Beschriftung lesen; Hauptaktion per Maus und Tastatur öffnen; ohne Speichern zurückkehren.</x:v>
      </x:c>
      <x:c r="E16" s="157" t="str">
        <x:v>Ring beschreibt Dokumentationsumfang; „Beobachtung erfassen“ öffnet den richtigen Kindkontext.</x:v>
      </x:c>
      <x:c r="F16" s="157" t="str">
        <x:v>Keine Prozent- oder Leistungsdeutung; Hauptaktion muss dominant bleiben.</x:v>
      </x:c>
      <x:c r="G16" s="157" t="str">
        <x:v>Zahlen stimmen, Ring wirkt neutral und der Dialog öffnet für das richtige Kind.</x:v>
      </x:c>
      <x:c r="H16" s="158" t="str">
        <x:v>Bug/UX, Test 11.</x:v>
      </x:c>
    </x:row>
    <x:row r="17" ht="48" customHeight="1">
      <x:c r="A17" s="156" t="n">
        <x:v>12</x:v>
      </x:c>
      <x:c r="B17" s="157" t="str">
        <x:v>Schülerprofil → Entwicklung</x:v>
      </x:c>
      <x:c r="C17" s="157" t="str">
        <x:v>Kind mit mindestens zwei Fächern und dokumentierten Ereignissen wählen.</x:v>
      </x:c>
      <x:c r="D17" s="157" t="str">
        <x:v>Entwicklung öffnen; nacheinander zwei Fächer auswählen; Überschrift, Themen und Daten vergleichen.</x:v>
      </x:c>
      <x:c r="E17" s="157" t="str">
        <x:v>Nur Inhalte des gewählten Fachs sind sichtbar; Wechsel erfolgt klar und stabil.</x:v>
      </x:c>
      <x:c r="F17" s="157" t="str">
        <x:v>Alte Daten dürfen nicht stehen bleiben; Auswahl und Fokus müssen nachvollziehbar sein.</x:v>
      </x:c>
      <x:c r="G17" s="157" t="str">
        <x:v>Jeder Fachwechsel zeigt eindeutig die passenden Themen und Ereignisse.</x:v>
      </x:c>
      <x:c r="H17" s="158" t="str">
        <x:v>Bug/UX, Test 12.</x:v>
      </x:c>
    </x:row>
    <x:row r="18" ht="48" customHeight="1">
      <x:c r="A18" s="156" t="n">
        <x:v>13</x:v>
      </x:c>
      <x:c r="B18" s="157" t="str">
        <x:v>Schülerprofil → Entwicklung</x:v>
      </x:c>
      <x:c r="C18" s="157" t="str">
        <x:v>Kind mit mehreren dokumentierten Themen wählen.</x:v>
      </x:c>
      <x:c r="D18" s="157" t="str">
        <x:v>Ein Fach mit mehreren Themen öffnen; alle Entwicklungsgrafen von oben nach unten prüfen.</x:v>
      </x:c>
      <x:c r="E18" s="157" t="str">
        <x:v>Jedes Thema besitzt eine eigene kompakte Darstellung; Datenreihen überlagern sich nicht.</x:v>
      </x:c>
      <x:c r="F18" s="157" t="str">
        <x:v>Lesbarkeit langer Kompetenznamen, Abstand, gleiche Skala nur wenn fachlich verständlich.</x:v>
      </x:c>
      <x:c r="G18" s="157" t="str">
        <x:v>Mehrere Themen sind getrennt und ohne Verwechslung scanbar.</x:v>
      </x:c>
      <x:c r="H18" s="158" t="str">
        <x:v>UX/Bug, Test 13, Screenshot.</x:v>
      </x:c>
    </x:row>
    <x:row r="19" ht="48" customHeight="1">
      <x:c r="A19" s="156" t="n">
        <x:v>14</x:v>
      </x:c>
      <x:c r="B19" s="157" t="str">
        <x:v>Schülerprofil → Entwicklung</x:v>
      </x:c>
      <x:c r="C19" s="157" t="str">
        <x:v>Darstellung mit mehreren Fächern und Statusstufen öffnen.</x:v>
      </x:c>
      <x:c r="D19" s="157" t="str">
        <x:v>Farben vergleichen; anschließend prüfen, ob dieselben Aussagen auch über Text, Form und Beschriftung verständlich sind.</x:v>
      </x:c>
      <x:c r="E19" s="157" t="str">
        <x:v>Farbe ordnet Fächer oder Elemente, bewertet aber keine Leistung.</x:v>
      </x:c>
      <x:c r="F19" s="157" t="str">
        <x:v>Keine Rot-Grün-Ampel, kein Ranking, keine Farbe als einzige Information.</x:v>
      </x:c>
      <x:c r="G19" s="157" t="str">
        <x:v>Ohne Farbwahrnehmung bleiben Fach, Stand und Ereignis vollständig verständlich.</x:v>
      </x:c>
      <x:c r="H19" s="158" t="str">
        <x:v>UX/Produktentscheidung, Test 14.</x:v>
      </x:c>
    </x:row>
    <x:row r="20" ht="48" customHeight="1">
      <x:c r="A20" s="156" t="n">
        <x:v>15</x:v>
      </x:c>
      <x:c r="B20" s="157" t="str">
        <x:v>Schülerprofil → Entwicklungsgrafen</x:v>
      </x:c>
      <x:c r="C20" s="157" t="str">
        <x:v>Ansicht mit mehreren sichtbaren Datenpunkten öffnen.</x:v>
      </x:c>
      <x:c r="D20" s="157" t="str">
        <x:v>Jeden Datenpunkt mit Maus anfahren und, soweit vorgesehen, per Tastatur fokussieren.</x:v>
      </x:c>
      <x:c r="E20" s="157" t="str">
        <x:v>Zu jedem Punkt erscheint ein verständlicher Tooltip mit Datum, dokumentiertem Stand und Belegbezug.</x:v>
      </x:c>
      <x:c r="F20" s="157" t="str">
        <x:v>Tooltip darf nicht abgeschnitten sein oder technische Kennungen dominieren.</x:v>
      </x:c>
      <x:c r="G20" s="157" t="str">
        <x:v>Jeder Punkt liefert konsistente, lesbare und zuordenbare Informationen.</x:v>
      </x:c>
      <x:c r="H20" s="158" t="str">
        <x:v>Bug/UX, Test 15.</x:v>
      </x:c>
    </x:row>
    <x:row r="21" ht="48" customHeight="1">
      <x:c r="A21" s="162" t="n">
        <x:v>16</x:v>
      </x:c>
      <x:c r="B21" s="163" t="str">
        <x:v>Schülerprofil → Entwicklung</x:v>
      </x:c>
      <x:c r="C21" s="163" t="str">
        <x:v>Kind oder Fach ohne passende Entwicklungsdaten wählen.</x:v>
      </x:c>
      <x:c r="D21" s="163" t="str">
        <x:v>Entwicklung öffnen; Leerzustand lesen; angebotene Aktion prüfen.</x:v>
      </x:c>
      <x:c r="E21" s="163" t="str">
        <x:v>Neutraler Hinweis erklärt die fehlenden Daten; es entstehen keine Linie, Nullwertung oder Warnung.</x:v>
      </x:c>
      <x:c r="F21" s="163" t="str">
        <x:v>Kein Defizittext, keine erfundene Entwicklung, höchstens eine passende Aktion.</x:v>
      </x:c>
      <x:c r="G21" s="163" t="str">
        <x:v>Leerzustand ist verständlich, ruhig und fachlich ehrlich.</x:v>
      </x:c>
      <x:c r="H21" s="164" t="str">
        <x:v>UX, Test 16, Screenshot.</x:v>
      </x:c>
    </x:row>
    <x:row r="22" ht="48" customHeight="1">
      <x:c r="A22" s="162" t="n">
        <x:v>17</x:v>
      </x:c>
      <x:c r="B22" s="163" t="str">
        <x:v>Schülerprofil → Entwicklung</x:v>
      </x:c>
      <x:c r="C22" s="163" t="str">
        <x:v>Kind oder Thema mit nur einem bis zwei realen Ereignissen wählen.</x:v>
      </x:c>
      <x:c r="D22" s="163" t="str">
        <x:v>Darstellung öffnen; sichtbare Punkte, Texte und Verbindungen prüfen.</x:v>
      </x:c>
      <x:c r="E22" s="163" t="str">
        <x:v>Nur reale Ereignisse erscheinen; geringe Datenmenge wird neutral erklärt.</x:v>
      </x:c>
      <x:c r="F22" s="163" t="str">
        <x:v>Keine Interpolation, Hochrechnung, Geschwindigkeit oder automatische Trendformulierung.</x:v>
      </x:c>
      <x:c r="G22" s="163" t="str">
        <x:v>Wenige Daten bleiben nachvollziehbar, ohne mehr Aussage vorzutäuschen.</x:v>
      </x:c>
      <x:c r="H22" s="164" t="str">
        <x:v>UX/Produktentscheidung, Test 17.</x:v>
      </x:c>
    </x:row>
    <x:row r="23" ht="48" customHeight="1">
      <x:c r="A23" s="162" t="n">
        <x:v>18</x:v>
      </x:c>
      <x:c r="B23" s="163" t="str">
        <x:v>Schülerprofil → Entwicklung oder Kompetenzen</x:v>
      </x:c>
      <x:c r="C23" s="163" t="str">
        <x:v>Vorbereiteten Fall mit historischer Kompetenzreferenz wählen.</x:v>
      </x:c>
      <x:c r="D23" s="163" t="str">
        <x:v>Historischen Eintrag öffnen; Kennzeichnung, Datum und Beleg prüfen; Fach wechseln und zurückkehren.</x:v>
      </x:c>
      <x:c r="E23" s="163" t="str">
        <x:v>Historische Referenz bleibt sichtbar und eindeutig vom aktuellen Katalog getrennt.</x:v>
      </x:c>
      <x:c r="F23" s="163" t="str">
        <x:v>Nicht still ausblenden, nicht als neu auswählbar behandeln, keine technische ID im Vordergrund.</x:v>
      </x:c>
      <x:c r="G23" s="163" t="str">
        <x:v>Bestandsdaten bleiben lesbar und werden nicht reaktiviert.</x:v>
      </x:c>
      <x:c r="H23" s="164" t="str">
        <x:v>Bug/UX, Test 18.</x:v>
      </x:c>
    </x:row>
    <x:row r="24" ht="48" customHeight="1">
      <x:c r="A24" s="162" t="n">
        <x:v>19</x:v>
      </x:c>
      <x:c r="B24" s="163" t="str">
        <x:v>Schülerprofil → Überblick → Lernentwicklung</x:v>
      </x:c>
      <x:c r="C24" s="163" t="str">
        <x:v>Kind mit mindestens vier qualifizierenden Statusänderungen wählen, falls Testdaten vorhanden.</x:v>
      </x:c>
      <x:c r="D24" s="163" t="str">
        <x:v>Orientierungskarte lesen; Anzahl, Reihenfolge, vorherigen/neuen Stand, Zeitraum und Ereignis prüfen; Beleg öffnen.</x:v>
      </x:c>
      <x:c r="E24" s="163" t="str">
        <x:v>Höchstens drei reale Änderungen, jüngste zuerst; bei Gleichstand curriculare Reihenfolge.</x:v>
      </x:c>
      <x:c r="F24" s="163" t="str">
        <x:v>Keine Kompetenz ohne Statuswechsel; Beleg muss eindeutig zur Änderung gehören.</x:v>
      </x:c>
      <x:c r="G24" s="163" t="str">
        <x:v>Maximal drei korrekte, belegverknüpfte Änderungen werden neutral angezeigt.</x:v>
      </x:c>
      <x:c r="H24" s="164" t="str">
        <x:v>Bug/UX, Test 19.</x:v>
      </x:c>
    </x:row>
    <x:row r="25" ht="48" customHeight="1">
      <x:c r="A25" s="162" t="n">
        <x:v>20</x:v>
      </x:c>
      <x:c r="B25" s="163" t="str">
        <x:v>Schülerprofil → Überblick → Kompetenzkarte</x:v>
      </x:c>
      <x:c r="C25" s="163" t="str">
        <x:v>Dokumentationszahlen des gewählten Kindes kennen.</x:v>
      </x:c>
      <x:c r="D25" s="163" t="str">
        <x:v>Ring, Zähler und Beschriftung mit Kompetenzübersicht vergleichen.</x:v>
      </x:c>
      <x:c r="E25" s="163" t="str">
        <x:v>Alle Werte beschreiben denselben Dokumentationsumfang.</x:v>
      </x:c>
      <x:c r="F25" s="163" t="str">
        <x:v>Ring nicht mit Prozentleistung verwechseln; keine widersprüchlichen Zahlen.</x:v>
      </x:c>
      <x:c r="G25" s="163" t="str">
        <x:v>Ring, Text und zugrunde liegende Liste stimmen überein.</x:v>
      </x:c>
      <x:c r="H25" s="164" t="str">
        <x:v>Bug/UX, Test 20.</x:v>
      </x:c>
    </x:row>
    <x:row r="26" ht="48" customHeight="1">
      <x:c r="A26" s="162" t="n">
        <x:v>21</x:v>
      </x:c>
      <x:c r="B26" s="163" t="str">
        <x:v>Schülerprofil → Überblick → Kompetenzkarte</x:v>
      </x:c>
      <x:c r="C26" s="163" t="str">
        <x:v>Gut und wenig dokumentiertes Kind bereithalten.</x:v>
      </x:c>
      <x:c r="D26" s="163" t="str">
        <x:v>Beide Karten vergleichen; bestätigte und beobachtete Anteile lesen.</x:v>
      </x:c>
      <x:c r="E26" s="163" t="str">
        <x:v>Visualisierung bleibt verständlich; Zahlen ändern sich plausibel mit der Dokumentation.</x:v>
      </x:c>
      <x:c r="F26" s="163" t="str">
        <x:v>Keine Notenwirkung, Rangfolge, Durchschnitts- oder Leistungsinterpretation.</x:v>
      </x:c>
      <x:c r="G26" s="163" t="str">
        <x:v>Laura kann die Zahlen erklären, ohne sie als Leistung zu lesen.</x:v>
      </x:c>
      <x:c r="H26" s="164" t="str">
        <x:v>UX/Produktentscheidung, Test 21.</x:v>
      </x:c>
    </x:row>
    <x:row r="27" ht="48" customHeight="1">
      <x:c r="A27" s="162" t="n">
        <x:v>22</x:v>
      </x:c>
      <x:c r="B27" s="163" t="str">
        <x:v>Schülerprofil → Überblick → Noch nicht dokumentiert</x:v>
      </x:c>
      <x:c r="C27" s="163" t="str">
        <x:v>Kind mit mehreren offenen Lernbereichen wählen.</x:v>
      </x:c>
      <x:c r="D27" s="163" t="str">
        <x:v>Karte lesen und spontan beschreiben, wie sie im Alltag genutzt würde.</x:v>
      </x:c>
      <x:c r="E27" s="163" t="str">
        <x:v>Karte wirkt wie neutrale Arbeitsliste für künftige Dokumentation.</x:v>
      </x:c>
      <x:c r="F27" s="163" t="str">
        <x:v>Keine Warnfarbe, kein Ausrufezeichen, kein Defizit- oder Kontrolldruck.</x:v>
      </x:c>
      <x:c r="G27" s="163" t="str">
        <x:v>Laura versteht den Arbeitsauftrag, ohne eine Leistungsbewertung anzunehmen.</x:v>
      </x:c>
      <x:c r="H27" s="164" t="str">
        <x:v>UX, Test 22.</x:v>
      </x:c>
    </x:row>
    <x:row r="28" ht="48" customHeight="1">
      <x:c r="A28" s="162" t="n">
        <x:v>23</x:v>
      </x:c>
      <x:c r="B28" s="163" t="str">
        <x:v>Schülerprofil → Noch nicht dokumentiert</x:v>
      </x:c>
      <x:c r="C28" s="163" t="str">
        <x:v>Offene Bereiche aus mehreren Fächern vorbereiten.</x:v>
      </x:c>
      <x:c r="D28" s="163" t="str">
        <x:v>Reihenfolge prüfen; ersten und späteren Eintrag öffnen; Rückweg testen.</x:v>
      </x:c>
      <x:c r="E28" s="163" t="str">
        <x:v>Reihenfolge ist nachvollziehbar und Navigation landet im passenden Kompetenzkontext.</x:v>
      </x:c>
      <x:c r="F28" s="163" t="str">
        <x:v>Kein beliebiger Sprung, kein Verlust des Kindkontexts, Rückweg klar.</x:v>
      </x:c>
      <x:c r="G28" s="163" t="str">
        <x:v>Jeder getestete Eintrag öffnet den erwarteten Bereich und zurück funktioniert.</x:v>
      </x:c>
      <x:c r="H28" s="164" t="str">
        <x:v>Bug/UX, Test 23.</x:v>
      </x:c>
    </x:row>
    <x:row r="29" ht="48" customHeight="1">
      <x:c r="A29" s="162" t="n">
        <x:v>24</x:v>
      </x:c>
      <x:c r="B29" s="163" t="str">
        <x:v>Schülerprofil → Dokumente</x:v>
      </x:c>
      <x:c r="C29" s="163" t="str">
        <x:v>Kind mit Berichtsentwurf wählen.</x:v>
      </x:c>
      <x:c r="D29" s="163" t="str">
        <x:v>Dokumentenbereich überfliegen; Entwurfsstatus lesen; Bericht öffnen und zurückkehren.</x:v>
      </x:c>
      <x:c r="E29" s="163" t="str">
        <x:v>Entwurf ist kompakt erkennbar und der bestehende Berichtspfad öffnet korrekt.</x:v>
      </x:c>
      <x:c r="F29" s="163" t="str">
        <x:v>Keine zweite Berichtsbearbeitung im Profil; Status nicht mit finaler Revision verwechseln.</x:v>
      </x:c>
      <x:c r="G29" s="163" t="str">
        <x:v>Status stimmt, Aktion führt zum vorhandenen Entwurf und Rückweg bleibt klar.</x:v>
      </x:c>
      <x:c r="H29" s="164" t="str">
        <x:v>Bug/UX, Test 24.</x:v>
      </x:c>
    </x:row>
    <x:row r="30" ht="48" customHeight="1">
      <x:c r="A30" s="162" t="n">
        <x:v>25</x:v>
      </x:c>
      <x:c r="B30" s="163" t="str">
        <x:v>Schülerprofil → Dokumente</x:v>
      </x:c>
      <x:c r="C30" s="163" t="str">
        <x:v>Kind mit mindestens zwei finalisierten Revisionen wählen.</x:v>
      </x:c>
      <x:c r="D30" s="163" t="str">
        <x:v>Revisionszeile lesen; Historie öffnen; Reihenfolge und Status vergleichen.</x:v>
      </x:c>
      <x:c r="E30" s="163" t="str">
        <x:v>Aktuelle und ersetzte Fassungen sind kompakt zusammengefasst; neueste Revision zuerst.</x:v>
      </x:c>
      <x:c r="F30" s="163" t="str">
        <x:v>Keine Bearbeiten-/Löschen-Aktion im kompakten Profilbereich.</x:v>
      </x:c>
      <x:c r="G30" s="163" t="str">
        <x:v>Zusammenfassung stimmt und jede Revision öffnet schreibgeschützt.</x:v>
      </x:c>
      <x:c r="H30" s="164" t="str">
        <x:v>Bug/UX, Test 25.</x:v>
      </x:c>
    </x:row>
    <x:row r="31" ht="48" customHeight="1">
      <x:c r="A31" s="162" t="n">
        <x:v>26</x:v>
      </x:c>
      <x:c r="B31" s="163" t="str">
        <x:v>Schülerprofil → Dokumente</x:v>
      </x:c>
      <x:c r="C31" s="163" t="str">
        <x:v>Kind mit vorhandenem LEG-Entwurf wählen.</x:v>
      </x:c>
      <x:c r="D31" s="163" t="str">
        <x:v>LEG-Status lesen; öffnen; Draft einmal speichern; ohne Abschluss zurückkehren.</x:v>
      </x:c>
      <x:c r="E31" s="163" t="str">
        <x:v>Status ist knapp verständlich und öffnet den vorhandenen Vorbereitungsweg.</x:v>
      </x:c>
      <x:c r="F31" s="163" t="str">
        <x:v>Abschluss, Revision und PDF werden in den separaten Fällen 62–65 geprüft.</x:v>
      </x:c>
      <x:c r="G31" s="163" t="str">
        <x:v>LEG-Entwurf öffnet korrekt; kompakter Profilbereich bleibt übersichtlich.</x:v>
      </x:c>
      <x:c r="H31" s="164" t="str">
        <x:v>Bug/UX, Test 26.</x:v>
      </x:c>
    </x:row>
    <x:row r="32" ht="48" customHeight="1">
      <x:c r="A32" s="162" t="n">
        <x:v>27</x:v>
      </x:c>
      <x:c r="B32" s="163" t="str">
        <x:v>Schülerprofil → Überblick → Letzte Beobachtungen</x:v>
      </x:c>
      <x:c r="C32" s="163" t="str">
        <x:v>Kind mit mehreren Beobachtungen wählen.</x:v>
      </x:c>
      <x:c r="D32" s="163" t="str">
        <x:v>Drei Karten jeweils nur kurz scannen und zuerst wahrgenommene Information benennen.</x:v>
      </x:c>
      <x:c r="E32" s="163" t="str">
        <x:v>Die konkrete Kompetenz steht visuell vor Fach, Datum, Kontext und Notiz.</x:v>
      </x:c>
      <x:c r="F32" s="163" t="str">
        <x:v>Fach oder Datum darf die Kompetenz nicht überstrahlen.</x:v>
      </x:c>
      <x:c r="G32" s="163" t="str">
        <x:v>Laura erkennt bei jeder Karte zuerst, worum es fachlich ging.</x:v>
      </x:c>
      <x:c r="H32" s="164" t="str">
        <x:v>UX, Test 27, Screenshot.</x:v>
      </x:c>
    </x:row>
    <x:row r="33" ht="48" customHeight="1">
      <x:c r="A33" s="162" t="n">
        <x:v>28</x:v>
      </x:c>
      <x:c r="B33" s="163" t="str">
        <x:v>Schülerprofil → Letzte Beobachtungen</x:v>
      </x:c>
      <x:c r="C33" s="163" t="str">
        <x:v>Kurze und lange Beobachtungsnotizen vorbereiten.</x:v>
      </x:c>
      <x:c r="D33" s="163" t="str">
        <x:v>Fach und Datum lesen; lange Vorschau prüfen; vollständige Beobachtung öffnen; zurückkehren.</x:v>
      </x:c>
      <x:c r="E33" s="163" t="str">
        <x:v>Metadaten sind eindeutig, Text wird sinnvoll begrenzt und Navigation bleibt klar.</x:v>
      </x:c>
      <x:c r="F33" s="163" t="str">
        <x:v>Keine abgeschnittene Kerninformation, keine überlange Karte, kein verlorener Rückweg.</x:v>
      </x:c>
      <x:c r="G33" s="163" t="str">
        <x:v>Alle Karten bleiben kompakt und die richtige Beobachtung öffnet sich.</x:v>
      </x:c>
      <x:c r="H33" s="164" t="str">
        <x:v>Bug/UX, Test 28.</x:v>
      </x:c>
    </x:row>
    <x:row r="34" ht="48" customHeight="1">
      <x:c r="A34" s="168" t="n">
        <x:v>29</x:v>
      </x:c>
      <x:c r="B34" s="169" t="str">
        <x:v>Schülerprofil bei 1400 × 900</x:v>
      </x:c>
      <x:c r="C34" s="169" t="str">
        <x:v>Fenster exakt auf 1400 × 900 stellen; gut dokumentiertes Kind wählen.</x:v>
      </x:c>
      <x:c r="D34" s="169" t="str">
        <x:v>Überblick, Entwicklung, Dokumente und letzte Beobachtungen öffnen; scrollen und Hauptaktionen prüfen.</x:v>
      </x:c>
      <x:c r="E34" s="169" t="str">
        <x:v>Karten nutzen die Breite sinnvoll; alle wichtigen Inhalte und Aktionen bleiben sichtbar.</x:v>
      </x:c>
      <x:c r="F34" s="169" t="str">
        <x:v>Überlappungen, unnötig große Leerräume, abgeschnittene Tooltips oder Texte.</x:v>
      </x:c>
      <x:c r="G34" s="169" t="str">
        <x:v>Kein wichtiger Inhalt ist abgeschnitten und alle Wege sind erreichbar.</x:v>
      </x:c>
      <x:c r="H34" s="170" t="str">
        <x:v>Bug/UX, Test 29, Screenshot.</x:v>
      </x:c>
    </x:row>
    <x:row r="35" ht="48" customHeight="1">
      <x:c r="A35" s="168" t="n">
        <x:v>30</x:v>
      </x:c>
      <x:c r="B35" s="169" t="str">
        <x:v>Schülerprofil bei 1180 × 760</x:v>
      </x:c>
      <x:c r="C35" s="169" t="str">
        <x:v>Fenster exakt auf 1180 × 760 stellen; denselben Fall wie zuvor verwenden.</x:v>
      </x:c>
      <x:c r="D35" s="169" t="str">
        <x:v>Alle Profilbereiche öffnen; horizontales und vertikales Verhalten prüfen; lange Texte testen.</x:v>
      </x:c>
      <x:c r="E35" s="169" t="str">
        <x:v>Karten ordnen sich untereinander; ein vertikaler Inhaltsfluss genügt; kein horizontaler Gesamtscroll.</x:v>
      </x:c>
      <x:c r="F35" s="169" t="str">
        <x:v>Hauptaktion, Tabs, Ring, Tooltips und lange Kompetenznamen dürfen nicht verschwinden.</x:v>
      </x:c>
      <x:c r="G35" s="169" t="str">
        <x:v>Alle Pflichtinformationen sind lesbar und ohne abgeschnittene Aktionen erreichbar.</x:v>
      </x:c>
      <x:c r="H35" s="170" t="str">
        <x:v>Bug/UX, Test 30, Screenshot.</x:v>
      </x:c>
    </x:row>
    <x:row r="36" ht="48" customHeight="1">
      <x:c r="A36" s="168" t="n">
        <x:v>31</x:v>
      </x:c>
      <x:c r="B36" s="169" t="str">
        <x:v>Gesamtes Schülerprofil</x:v>
      </x:c>
      <x:c r="C36" s="169" t="str">
        <x:v>Maus beiseitelegen; gut dokumentiertes Kind öffnen.</x:v>
      </x:c>
      <x:c r="D36" s="169" t="str">
        <x:v>Mit Tab, Shift+Tab, Pfeiltasten, Enter und Leertaste durch Kopf, Navigation, Karten und Aktionen gehen.</x:v>
      </x:c>
      <x:c r="E36" s="169" t="str">
        <x:v>Reihenfolge ist logisch; Fokus ist jederzeit sichtbar; keine Aktion benötigt ausschließlich die Maus.</x:v>
      </x:c>
      <x:c r="F36" s="169" t="str">
        <x:v>Fokusfallen, unsichtbarer Fokus, Sprünge oder nur klickbare Kartenflächen.</x:v>
      </x:c>
      <x:c r="G36" s="169" t="str">
        <x:v>Alle Kernwege funktionieren vollständig per Tastatur.</x:v>
      </x:c>
      <x:c r="H36" s="170" t="str">
        <x:v>Bug/UX, Test 31.</x:v>
      </x:c>
    </x:row>
    <x:row r="37" ht="48" customHeight="1">
      <x:c r="A37" s="174" t="n">
        <x:v>32</x:v>
      </x:c>
      <x:c r="B37" s="175" t="str">
        <x:v>Schülerprofil mit Reduced Motion</x:v>
      </x:c>
      <x:c r="C37" s="175" t="str">
        <x:v>Reduced Motion aktivieren; Entwicklung und aufklappbare Bereiche bereithalten.</x:v>
      </x:c>
      <x:c r="D37" s="175" t="str">
        <x:v>Bereiche schnell wechseln, öffnen und schließen; Fachwechsel und Tooltips prüfen.</x:v>
      </x:c>
      <x:c r="E37" s="175" t="str">
        <x:v>Endzustände erscheinen unmittelbar und verständlich; Inhalte hängen nicht von Animation ab.</x:v>
      </x:c>
      <x:c r="F37" s="175" t="str">
        <x:v>Springende Geometrie, verzögerter Fokus oder Informationen nur während Bewegung.</x:v>
      </x:c>
      <x:c r="G37" s="175" t="str">
        <x:v>Alle Zustände bleiben ruhig, vollständig und ohne notwendige Animation bedienbar.</x:v>
      </x:c>
      <x:c r="H37" s="176" t="str">
        <x:v>Bug/UX, Test 32.</x:v>
      </x:c>
    </x:row>
    <x:row r="38" ht="48" customHeight="1">
      <x:c r="A38" s="180" t="n">
        <x:v>33</x:v>
      </x:c>
      <x:c r="B38" s="181" t="str">
        <x:v>Schülerprofil → Lernentwicklungsbericht</x:v>
      </x:c>
      <x:c r="C38" s="181" t="str">
        <x:v>Gut dokumentiertes Kind.</x:v>
      </x:c>
      <x:c r="D38" s="181" t="str">
        <x:v>Neuen Draft anlegen; Texte erfassen; speichern; schließen; wieder öffnen.</x:v>
      </x:c>
      <x:c r="E38" s="181" t="str">
        <x:v>Alle Inhalte bleiben erhalten.</x:v>
      </x:c>
      <x:c r="F38" s="181" t="str">
        <x:v>Speicherstatus und Wiederöffnung.</x:v>
      </x:c>
      <x:c r="G38" s="181" t="str">
        <x:v>Draft ist vollständig.</x:v>
      </x:c>
      <x:c r="H38" s="182" t="str">
        <x:v>Bug, Test 33.</x:v>
      </x:c>
    </x:row>
    <x:row r="39" ht="48" customHeight="1">
      <x:c r="A39" s="186" t="n">
        <x:v>34</x:v>
      </x:c>
      <x:c r="B39" s="187" t="str">
        <x:v>Berichtswerkstatt → Fachseiten</x:v>
      </x:c>
      <x:c r="C39" s="187" t="str">
        <x:v>Mindestens zwei Fächer.</x:v>
      </x:c>
      <x:c r="D39" s="187" t="str">
        <x:v>Kompetenzen/Belege wählen; Fach wechseln; Filter ändern; wieder öffnen.</x:v>
      </x:c>
      <x:c r="E39" s="187" t="str">
        <x:v>Auswahl bleibt erhalten.</x:v>
      </x:c>
      <x:c r="F39" s="187" t="str">
        <x:v>Keine stille Abwahl.</x:v>
      </x:c>
      <x:c r="G39" s="187" t="str">
        <x:v>Auswahl ist stabil.</x:v>
      </x:c>
      <x:c r="H39" s="188" t="str">
        <x:v>Bug, Test 34.</x:v>
      </x:c>
    </x:row>
    <x:row r="40" ht="48" customHeight="1">
      <x:c r="A40" s="186" t="n">
        <x:v>35</x:v>
      </x:c>
      <x:c r="B40" s="187" t="str">
        <x:v>Berichtswerkstatt</x:v>
      </x:c>
      <x:c r="C40" s="187" t="str">
        <x:v>Nur falls Testdaten Sonderfall enthalten.</x:v>
      </x:c>
      <x:c r="D40" s="187" t="str">
        <x:v>Historische Kompetenz oder nicht verfügbaren Beleg öffnen; abwählen; Wiederwahl versuchen.</x:v>
      </x:c>
      <x:c r="E40" s="187" t="str">
        <x:v>Vorhandene Referenz bleibt gekennzeichnet; nach Abwahl keine neue Auswahl.</x:v>
      </x:c>
      <x:c r="F40" s="187" t="str">
        <x:v>Keine erfundenen Inhalte.</x:v>
      </x:c>
      <x:c r="G40" s="187" t="str">
        <x:v>Bestandsreferenz verschwindet nicht still.</x:v>
      </x:c>
      <x:c r="H40" s="188" t="str">
        <x:v>Bug/UX, Test 35.</x:v>
      </x:c>
    </x:row>
    <x:row r="41" ht="48" customHeight="1">
      <x:c r="A41" s="192" t="n">
        <x:v>36</x:v>
      </x:c>
      <x:c r="B41" s="193" t="str">
        <x:v>Berichtswerkstatt → Vorschau</x:v>
      </x:c>
      <x:c r="C41" s="193" t="str">
        <x:v>Teilweise ausgefüllter Draft.</x:v>
      </x:c>
      <x:c r="D41" s="193" t="str">
        <x:v>Vorschau öffnen; alle Seiten prüfen.</x:v>
      </x:c>
      <x:c r="E41" s="193" t="str">
        <x:v>Inhalte sind vollständig und lesbar.</x:v>
      </x:c>
      <x:c r="F41" s="193" t="str">
        <x:v>Keine Überlappung/Abschneidung.</x:v>
      </x:c>
      <x:c r="G41" s="193" t="str">
        <x:v>Vorschau entspricht Draft.</x:v>
      </x:c>
      <x:c r="H41" s="194" t="str">
        <x:v>Bug/UX, Test 36.</x:v>
      </x:c>
    </x:row>
    <x:row r="42" ht="48" customHeight="1">
      <x:c r="A42" s="62" t="n">
        <x:v>37</x:v>
      </x:c>
      <x:c r="B42" s="62" t="str">
        <x:v>Berichtsvorschau → PDF erstellen</x:v>
      </x:c>
      <x:c r="C42" s="62" t="str">
        <x:v>Gespeicherter Draft.</x:v>
      </x:c>
      <x:c r="D42" s="62" t="str">
        <x:v>Entwurfs-PDF erzeugen und öffnen.</x:v>
      </x:c>
      <x:c r="E42" s="62" t="str">
        <x:v>PDF funktioniert wie bisher; keine automatische Finalisierung.</x:v>
      </x:c>
      <x:c r="F42" s="62" t="str">
        <x:v>Nicht als finales Revisions-PDF interpretieren.</x:v>
      </x:c>
      <x:c r="G42" s="62" t="str">
        <x:v>PDF ist lesbar und vollständig.</x:v>
      </x:c>
      <x:c r="H42" s="62" t="str">
        <x:v>Bug, Test 37.</x:v>
      </x:c>
    </x:row>
    <x:row r="43" ht="48" customHeight="1">
      <x:c r="A43" s="62" t="n">
        <x:v>38</x:v>
      </x:c>
      <x:c r="B43" s="62" t="str">
        <x:v>Berichtswerkstatt → Statusbereich</x:v>
      </x:c>
      <x:c r="C43" s="62" t="str">
        <x:v>Noch nie finalisierter Draft.</x:v>
      </x:c>
      <x:c r="D43" s="62" t="str">
        <x:v>Status und Aktionen prüfen.</x:v>
      </x:c>
      <x:c r="E43" s="62" t="str">
        <x:v>„Entwurf“ ist eindeutig.</x:v>
      </x:c>
      <x:c r="F43" s="62" t="str">
        <x:v>Ist Finalisierung auffindbar, ohne dominant zu sein?</x:v>
      </x:c>
      <x:c r="G43" s="62" t="str">
        <x:v>Status passt.</x:v>
      </x:c>
      <x:c r="H43" s="62" t="str">
        <x:v>UX, Test 38.</x:v>
      </x:c>
    </x:row>
    <x:row r="44" ht="48" customHeight="1">
      <x:c r="A44" s="62" t="n">
        <x:v>39</x:v>
      </x:c>
      <x:c r="B44" s="62" t="str">
        <x:v>Berichtswerkstatt → Finalisieren</x:v>
      </x:c>
      <x:c r="C44" s="62" t="str">
        <x:v>Vollständiger Draft.</x:v>
      </x:c>
      <x:c r="D44" s="62" t="str">
        <x:v>Speichern; Finalisieren öffnen; Zusammenfassung lesen; Checkbox setzen; bestätigen.</x:v>
      </x:c>
      <x:c r="E44" s="62" t="str">
        <x:v>Revision 1 entsteht transaktional.</x:v>
      </x:c>
      <x:c r="F44" s="62" t="str">
        <x:v>Keine automatische PDF-Datei.</x:v>
      </x:c>
      <x:c r="G44" s="62" t="str">
        <x:v>Status wechselt korrekt.</x:v>
      </x:c>
      <x:c r="H44" s="62" t="str">
        <x:v>Bug/UX, Test 39.</x:v>
      </x:c>
    </x:row>
    <x:row r="45" ht="48" customHeight="1">
      <x:c r="A45" s="62" t="n">
        <x:v>40</x:v>
      </x:c>
      <x:c r="B45" s="62" t="str">
        <x:v>Finalisierungsdialog</x:v>
      </x:c>
      <x:c r="C45" s="62" t="str">
        <x:v>Draft mit Lehrkraftname.</x:v>
      </x:c>
      <x:c r="D45" s="62" t="str">
        <x:v>Vorbelegung prüfen; Leerzeichen ergänzen; finalisieren.</x:v>
      </x:c>
      <x:c r="E45" s="62" t="str">
        <x:v>Name ist Pflicht und wird getrimmt gespeichert.</x:v>
      </x:c>
      <x:c r="F45" s="62" t="str">
        <x:v>Keine Benutzer-ID erwartet.</x:v>
      </x:c>
      <x:c r="G45" s="62" t="str">
        <x:v>Metadaten zeigen korrekten Namen.</x:v>
      </x:c>
      <x:c r="H45" s="62" t="str">
        <x:v>Bug/UX, Test 40.</x:v>
      </x:c>
    </x:row>
    <x:row r="46" ht="48" customHeight="1">
      <x:c r="A46" s="62" t="n">
        <x:v>41</x:v>
      </x:c>
      <x:c r="B46" s="62" t="str">
        <x:v>Finalisierungsdialog</x:v>
      </x:c>
      <x:c r="C46" s="62" t="str">
        <x:v>Unvollständigen Draft oder ungültige Referenz verwenden.</x:v>
      </x:c>
      <x:c r="D46" s="62" t="str">
        <x:v>Finalisierung versuchen.</x:v>
      </x:c>
      <x:c r="E46" s="62" t="str">
        <x:v>Handlungsorientierte InlineMessage nennt konkrete Korrektur.</x:v>
      </x:c>
      <x:c r="F46" s="62" t="str">
        <x:v>Kein unnötiges technisches Modal.</x:v>
      </x:c>
      <x:c r="G46" s="62" t="str">
        <x:v>Fehler ist verständlich behebbar.</x:v>
      </x:c>
      <x:c r="H46" s="62" t="str">
        <x:v>Bug/UX, Test 41.</x:v>
      </x:c>
    </x:row>
    <x:row r="47" ht="48" customHeight="1">
      <x:c r="A47" s="62" t="n">
        <x:v>42</x:v>
      </x:c>
      <x:c r="B47" s="62" t="str">
        <x:v>Finalisierungsdialog</x:v>
      </x:c>
      <x:c r="C47" s="62" t="str">
        <x:v>Tastatur verwenden.</x:v>
      </x:c>
      <x:c r="D47" s="62" t="str">
        <x:v>Checkbox per Leertaste; Bestätigung per Enter.</x:v>
      </x:c>
      <x:c r="E47" s="62" t="str">
        <x:v>Bedienung ist vollständig tastaturfähig.</x:v>
      </x:c>
      <x:c r="F47" s="62" t="str">
        <x:v>Fokus sichtbar?</x:v>
      </x:c>
      <x:c r="G47" s="62" t="str">
        <x:v>Aktion funktioniert ohne Maus.</x:v>
      </x:c>
      <x:c r="H47" s="62" t="str">
        <x:v>UX, Test 42.</x:v>
      </x:c>
    </x:row>
    <x:row r="48" ht="48" customHeight="1">
      <x:c r="A48" s="62" t="n">
        <x:v>43</x:v>
      </x:c>
      <x:c r="B48" s="62" t="str">
        <x:v>Berichtswerkstatt → Status</x:v>
      </x:c>
      <x:c r="C48" s="62" t="str">
        <x:v>Revision 1 vorhanden.</x:v>
      </x:c>
      <x:c r="D48" s="62" t="str">
        <x:v>Status, Datum und Lehrkraft prüfen.</x:v>
      </x:c>
      <x:c r="E48" s="62" t="str">
        <x:v>„Finalisiert · Revision 1“ erscheint.</x:v>
      </x:c>
      <x:c r="F48" s="62" t="str">
        <x:v>Metadaten ruhig und verständlich.</x:v>
      </x:c>
      <x:c r="G48" s="62" t="str">
        <x:v>Status stimmt.</x:v>
      </x:c>
      <x:c r="H48" s="62" t="str">
        <x:v>Bug/UX, Test 43.</x:v>
      </x:c>
    </x:row>
    <x:row r="49" ht="48" customHeight="1">
      <x:c r="A49" s="62" t="n">
        <x:v>44</x:v>
      </x:c>
      <x:c r="B49" s="62" t="str">
        <x:v>Revisionshistorie → Öffnen</x:v>
      </x:c>
      <x:c r="C49" s="62" t="str">
        <x:v>Revision 1 vorhanden.</x:v>
      </x:c>
      <x:c r="D49" s="62" t="str">
        <x:v>Revision öffnen; Eingabefelder und Aktionen prüfen.</x:v>
      </x:c>
      <x:c r="E49" s="62" t="str">
        <x:v>Ansicht ist vollständig schreibgeschützt.</x:v>
      </x:c>
      <x:c r="F49" s="62" t="str">
        <x:v>Keine Draft-Werte nachladen.</x:v>
      </x:c>
      <x:c r="G49" s="62" t="str">
        <x:v>Nichts ist editierbar.</x:v>
      </x:c>
      <x:c r="H49" s="62" t="str">
        <x:v>Bug, Test 44.</x:v>
      </x:c>
    </x:row>
    <x:row r="50" ht="48" customHeight="1">
      <x:c r="A50" s="62" t="n">
        <x:v>45</x:v>
      </x:c>
      <x:c r="B50" s="62" t="str">
        <x:v>Berichtswerkstatt</x:v>
      </x:c>
      <x:c r="C50" s="62" t="str">
        <x:v>Revision 1 vorhanden.</x:v>
      </x:c>
      <x:c r="D50" s="62" t="str">
        <x:v>Drafttext ändern und speichern, aber noch nicht erneut finalisieren.</x:v>
      </x:c>
      <x:c r="E50" s="62" t="str">
        <x:v>Status wird „Entwurf geändert“; Revision 1 bleibt unverändert.</x:v>
      </x:c>
      <x:c r="F50" s="62" t="str">
        <x:v>Keine stille Überschreibung.</x:v>
      </x:c>
      <x:c r="G50" s="62" t="str">
        <x:v>Alte Revision identisch.</x:v>
      </x:c>
      <x:c r="H50" s="62" t="str">
        <x:v>Bug, Test 45.</x:v>
      </x:c>
    </x:row>
    <x:row r="51" ht="48" customHeight="1">
      <x:c r="A51" s="62" t="n">
        <x:v>46</x:v>
      </x:c>
      <x:c r="B51" s="62" t="str">
        <x:v>Berichtswerkstatt → Finalisieren</x:v>
      </x:c>
      <x:c r="C51" s="62" t="str">
        <x:v>Geänderter Draft nach Revision 1.</x:v>
      </x:c>
      <x:c r="D51" s="62" t="str">
        <x:v>Erneut finalisieren.</x:v>
      </x:c>
      <x:c r="E51" s="62" t="str">
        <x:v>Revision 2 entsteht; Revision 1 wird ersetzt.</x:v>
      </x:c>
      <x:c r="F51" s="62" t="str">
        <x:v>Keine zweite RPT-Identität sichtbar.</x:v>
      </x:c>
      <x:c r="G51" s="62" t="str">
        <x:v>Historie ist korrekt.</x:v>
      </x:c>
      <x:c r="H51" s="62" t="str">
        <x:v>Bug, Test 46.</x:v>
      </x:c>
    </x:row>
    <x:row r="52" ht="48" customHeight="1">
      <x:c r="A52" s="62" t="n">
        <x:v>47</x:v>
      </x:c>
      <x:c r="B52" s="62" t="str">
        <x:v>Revisionshistorie</x:v>
      </x:c>
      <x:c r="C52" s="62" t="str">
        <x:v>Mindestens zwei Revisionen.</x:v>
      </x:c>
      <x:c r="D52" s="62" t="str">
        <x:v>Liste prüfen; beide öffnen.</x:v>
      </x:c>
      <x:c r="E52" s="62" t="str">
        <x:v>Neueste oben; eine „Aktuell“, alte „Ersetzt“; nur „Öffnen“.</x:v>
      </x:c>
      <x:c r="F52" s="62" t="str">
        <x:v>Keine Bearbeiten/Löschen-Aktion.</x:v>
      </x:c>
      <x:c r="G52" s="62" t="str">
        <x:v>Historie eindeutig.</x:v>
      </x:c>
      <x:c r="H52" s="62" t="str">
        <x:v>Bug/UX, Test 47.</x:v>
      </x:c>
    </x:row>
    <x:row r="53" ht="48" customHeight="1">
      <x:c r="A53" s="62" t="n">
        <x:v>48</x:v>
      </x:c>
      <x:c r="B53" s="62" t="str">
        <x:v>Revisionshistorie</x:v>
      </x:c>
      <x:c r="C53" s="62" t="str">
        <x:v>Revision vorhanden.</x:v>
      </x:c>
      <x:c r="D53" s="62" t="str">
        <x:v>Metadaten lesen; über technischen Tooltip fahren.</x:v>
      </x:c>
      <x:c r="E53" s="62" t="str">
        <x:v>Fachliche Daten sichtbar; RPV-ID/Hash nur im Tooltip.</x:v>
      </x:c>
      <x:c r="F53" s="62" t="str">
        <x:v>Technik darf UI nicht dominieren.</x:v>
      </x:c>
      <x:c r="G53" s="62" t="str">
        <x:v>Darstellung entspricht Regel.</x:v>
      </x:c>
      <x:c r="H53" s="62" t="str">
        <x:v>UX, Test 48.</x:v>
      </x:c>
    </x:row>
    <x:row r="54" ht="48" customHeight="1">
      <x:c r="A54" s="62" t="n">
        <x:v>49</x:v>
      </x:c>
      <x:c r="B54" s="62" t="str">
        <x:v>Draft und Revisionen</x:v>
      </x:c>
      <x:c r="C54" s="62" t="str">
        <x:v>Mindestens zwei Revisionen.</x:v>
      </x:c>
      <x:c r="D54" s="62" t="str">
        <x:v>Draft erneut ändern; alte Revisionen öffnen und vergleichen.</x:v>
      </x:c>
      <x:c r="E54" s="62" t="str">
        <x:v>Gespeicherte Revisionen bleiben unverändert.</x:v>
      </x:c>
      <x:c r="F54" s="62" t="str">
        <x:v>Name, Gruppe, Kompetenzen, Beobachtungen nicht live nachladen.</x:v>
      </x:c>
      <x:c r="G54" s="62" t="str">
        <x:v>Snapshots bleiben stabil.</x:v>
      </x:c>
      <x:c r="H54" s="62" t="str">
        <x:v>Bug, Test 49.</x:v>
      </x:c>
    </x:row>
    <x:row r="55" ht="48" customHeight="1">
      <x:c r="A55" s="62" t="n">
        <x:v>50</x:v>
      </x:c>
      <x:c r="B55" s="62" t="str">
        <x:v>Berichtswerkstatt</x:v>
      </x:c>
      <x:c r="C55" s="62" t="str">
        <x:v>Revision 1 vorhanden.</x:v>
      </x:c>
      <x:c r="D55" s="62" t="str">
        <x:v>Versuchen, Zeitraum oder Berichtstyp abweichend erneut zu finalisieren.</x:v>
      </x:c>
      <x:c r="E55" s="62" t="str">
        <x:v>Inline-Hinweis verlangt neuen Berichtsentwurf.</x:v>
      </x:c>
      <x:c r="F55" s="62" t="str">
        <x:v>Kein technischer Fehlertext.</x:v>
      </x:c>
      <x:c r="G55" s="62" t="str">
        <x:v>Umdutung des RPT wird verhindert.</x:v>
      </x:c>
      <x:c r="H55" s="62" t="str">
        <x:v>Bug/UX, Test 50.</x:v>
      </x:c>
    </x:row>
    <x:row r="56" ht="48" customHeight="1">
      <x:c r="A56" s="62" t="n">
        <x:v>51</x:v>
      </x:c>
      <x:c r="B56" s="62" t="str">
        <x:v>Schülerprofil → LEG</x:v>
      </x:c>
      <x:c r="C56" s="62" t="str">
        <x:v>Gut dokumentiertes Kind.</x:v>
      </x:c>
      <x:c r="D56" s="62" t="str">
        <x:v>Draft öffnen; Vorbereitung, Fächer, Kompetenzen und Belege wählen; speichern; wieder öffnen.</x:v>
      </x:c>
      <x:c r="E56" s="62" t="str">
        <x:v>Alle Inhalte bleiben erhalten.</x:v>
      </x:c>
      <x:c r="F56" s="62" t="str">
        <x:v>Vorbereitung klar getrennt.</x:v>
      </x:c>
      <x:c r="G56" s="62" t="str">
        <x:v>Draft rekonstruiert korrekt.</x:v>
      </x:c>
      <x:c r="H56" s="62" t="str">
        <x:v>Bug/UX, Test 51.</x:v>
      </x:c>
    </x:row>
    <x:row r="57" ht="48" customHeight="1">
      <x:c r="A57" s="62" t="n">
        <x:v>52</x:v>
      </x:c>
      <x:c r="B57" s="62" t="str">
        <x:v>LEG → Gesprächsmappe</x:v>
      </x:c>
      <x:c r="C57" s="62" t="str">
        <x:v>Vorbereiteter Draft.</x:v>
      </x:c>
      <x:c r="D57" s="62" t="str">
        <x:v>Alle sechs Phasen nacheinander durchgehen.</x:v>
      </x:c>
      <x:c r="E57" s="62" t="str">
        <x:v>Ablauf unterstützt das Gespräch.</x:v>
      </x:c>
      <x:c r="F57" s="62" t="str">
        <x:v>Keine unnötige Verwaltungssprache.</x:v>
      </x:c>
      <x:c r="G57" s="62" t="str">
        <x:v>Alle Phasen logisch.</x:v>
      </x:c>
      <x:c r="H57" s="62" t="str">
        <x:v>UX/Produktentscheidung, Test 52.</x:v>
      </x:c>
    </x:row>
    <x:row r="58" ht="48" customHeight="1">
      <x:c r="A58" s="62" t="n">
        <x:v>53</x:v>
      </x:c>
      <x:c r="B58" s="62" t="str">
        <x:v>LEG → Vereinbarungen</x:v>
      </x:c>
      <x:c r="C58" s="62" t="str">
        <x:v>Vorbereiteter Draft.</x:v>
      </x:c>
      <x:c r="D58" s="62" t="str">
        <x:v>Ziele, Unterstützung, Zuständigkeit und Termin erfassen; speichern; wieder öffnen.</x:v>
      </x:c>
      <x:c r="E58" s="62" t="str">
        <x:v>Gemeinsame Inhalte bleiben erhalten.</x:v>
      </x:c>
      <x:c r="F58" s="62" t="str">
        <x:v>Vorbereitung nicht vermischen.</x:v>
      </x:c>
      <x:c r="G58" s="62" t="str">
        <x:v>Vereinbarungen vollständig.</x:v>
      </x:c>
      <x:c r="H58" s="62" t="str">
        <x:v>Bug/UX, Test 53.</x:v>
      </x:c>
    </x:row>
    <x:row r="59" ht="48" customHeight="1">
      <x:c r="A59" s="62" t="n">
        <x:v>54</x:v>
      </x:c>
      <x:c r="B59" s="62" t="str">
        <x:v>Einstellungen → Stundenplan</x:v>
      </x:c>
      <x:c r="C59" s="62" t="str">
        <x:v>Freier Testtag.</x:v>
      </x:c>
      <x:c r="D59" s="62" t="str">
        <x:v>Stunde anlegen, bearbeiten, deaktivieren, reaktivieren und löschen.</x:v>
      </x:c>
      <x:c r="E59" s="62" t="str">
        <x:v>Alle Zustände aktualisieren Dashboard korrekt.</x:v>
      </x:c>
      <x:c r="F59" s="62" t="str">
        <x:v>Rückfragen und Zielauswahl.</x:v>
      </x:c>
      <x:c r="G59" s="62" t="str">
        <x:v>Keine falsche aktuelle Stunde.</x:v>
      </x:c>
      <x:c r="H59" s="62" t="str">
        <x:v>Bug/UX, Test 54.</x:v>
      </x:c>
    </x:row>
    <x:row r="60" ht="48" customHeight="1">
      <x:c r="A60" s="62" t="n">
        <x:v>55</x:v>
      </x:c>
      <x:c r="B60" s="62" t="str">
        <x:v>Gesamte App</x:v>
      </x:c>
      <x:c r="C60" s="62" t="str">
        <x:v>Kind mit Bericht und LEG.</x:v>
      </x:c>
      <x:c r="D60" s="62" t="str">
        <x:v>Dashboard → Kind → Beobachtung → Bericht → Revision → LEG → zurück.</x:v>
      </x:c>
      <x:c r="E60" s="62" t="str">
        <x:v>Navigation ist logisch und ohne Sackgasse.</x:v>
      </x:c>
      <x:c r="F60" s="62" t="str">
        <x:v>Ort und Rückweg bleiben klar.</x:v>
      </x:c>
      <x:c r="G60" s="62" t="str">
        <x:v>Alle Wege funktionieren.</x:v>
      </x:c>
      <x:c r="H60" s="62" t="str">
        <x:v>UX, Test 55.</x:v>
      </x:c>
    </x:row>
    <x:row r="61" ht="48" customHeight="1">
      <x:c r="A61" s="62" t="n">
        <x:v>56</x:v>
      </x:c>
      <x:c r="B61" s="62" t="str">
        <x:v>Gesamte App</x:v>
      </x:c>
      <x:c r="C61" s="62" t="str">
        <x:v>Fenstergrößen 1400×900 und 1180×760.</x:v>
      </x:c>
      <x:c r="D61" s="62" t="str">
        <x:v>Wichtige Screens und Dialoge öffnen.</x:v>
      </x:c>
      <x:c r="E61" s="62" t="str">
        <x:v>Keine Hauptaktion abgeschnitten; sinnvolles Scrollen.</x:v>
      </x:c>
      <x:c r="F61" s="62" t="str">
        <x:v>Schriften und Abstände.</x:v>
      </x:c>
      <x:c r="G61" s="62" t="str">
        <x:v>App bleibt nutzbar.</x:v>
      </x:c>
      <x:c r="H61" s="62" t="str">
        <x:v>UX, Test 56.</x:v>
      </x:c>
    </x:row>
    <x:row r="62" ht="48" customHeight="1">
      <x:c r="A62" s="62" t="n">
        <x:v>57</x:v>
      </x:c>
      <x:c r="B62" s="62" t="str">
        <x:v>Gesamte App</x:v>
      </x:c>
      <x:c r="C62" s="62" t="str">
        <x:v>Reduced Motion aktivieren; Tastatur verwenden.</x:v>
      </x:c>
      <x:c r="D62" s="62" t="str">
        <x:v>Dialoge, Historie und Bestätigung bedienen.</x:v>
      </x:c>
      <x:c r="E62" s="62" t="str">
        <x:v>Keine notwendige Information hängt von Animation ab.</x:v>
      </x:c>
      <x:c r="F62" s="62" t="str">
        <x:v>Fokus und Reihenfolge.</x:v>
      </x:c>
      <x:c r="G62" s="62" t="str">
        <x:v>Bedienung bleibt verständlich.</x:v>
      </x:c>
      <x:c r="H62" s="62" t="str">
        <x:v>UX, Test 57.</x:v>
      </x:c>
    </x:row>
    <x:row r="63" ht="48" customHeight="1">
      <x:c r="A63" s="62" t="n">
        <x:v>58</x:v>
      </x:c>
      <x:c r="B63" s="62" t="str">
        <x:v>Freie Nutzung</x:v>
      </x:c>
      <x:c r="C63" s="62" t="str">
        <x:v>20–30 Minuten Zeit.</x:v>
      </x:c>
      <x:c r="D63" s="62" t="str">
        <x:v>Typischen Arbeitsablauf ohne Testanweisung simulieren.</x:v>
      </x:c>
      <x:c r="E63" s="62" t="str">
        <x:v>App fühlt sich wie Werkzeug an.</x:v>
      </x:c>
      <x:c r="F63" s="62" t="str">
        <x:v>Jede Irritation sofort notieren.</x:v>
      </x:c>
      <x:c r="G63" s="62" t="str">
        <x:v>Laura würde Kernabläufe freiwillig nutzen.</x:v>
      </x:c>
      <x:c r="H63" s="62" t="str">
        <x:v>Alle Kategorien möglich, Test 58.</x:v>
      </x:c>
    </x:row>
    <x:row r="64">
      <x:c r="A64" t="n">
        <x:v>59</x:v>
      </x:c>
      <x:c r="B64" t="str">
        <x:v>Schülerprofil → Beobachtung</x:v>
      </x:c>
      <x:c r="C64" t="str">
        <x:v>Gespeicherte Beobachtung mit Kompetenz und Notiz.</x:v>
      </x:c>
      <x:c r="D64" t="str">
        <x:v>Beobachtung öffnen; Notiz und Bewertung ändern; speichern; schließen; erneut öffnen.</x:v>
      </x:c>
      <x:c r="E64" t="str">
        <x:v>Änderungen betreffen nur diese Beobachtung und erscheinen im Profil vollständig.</x:v>
      </x:c>
      <x:c r="F64" t="str">
        <x:v>Datum, Kind, Kompetenzbezug und Rückweg dürfen nicht verloren gehen.</x:v>
      </x:c>
      <x:c r="G64" t="str">
        <x:v>Geänderte Werte bleiben stabil und die richtige Beobachtung ist wieder auffindbar.</x:v>
      </x:c>
      <x:c r="H64" t="str">
        <x:v>Bug/UX, Test 59.</x:v>
      </x:c>
    </x:row>
    <x:row r="65">
      <x:c r="A65" t="n">
        <x:v>60</x:v>
      </x:c>
      <x:c r="B65" t="str">
        <x:v>Neuer Beobachtungsdialog → Dokumente</x:v>
      </x:c>
      <x:c r="C65" t="str">
        <x:v>Harmloses Testdokument bereithalten.</x:v>
      </x:c>
      <x:c r="D65" t="str">
        <x:v>Beobachtung mit Dokument speichern; Dateizeile prüfen; Dokument entfernen; erneut speichern.</x:v>
      </x:c>
      <x:c r="E65" t="str">
        <x:v>Dateiname, Typ und Entfernen-Aktion sind verständlich; nur die Verknüpfung wird entfernt.</x:v>
      </x:c>
      <x:c r="F65" t="str">
        <x:v>Keine echte Kinderdokumentation verwenden; Speicherstatus und Rückweg prüfen.</x:v>
      </x:c>
      <x:c r="G65" t="str">
        <x:v>Beleg erscheint korrekt und lässt sich ohne Restverknüpfung entfernen.</x:v>
      </x:c>
      <x:c r="H65" t="str">
        <x:v>Bug/UX, Test 60.</x:v>
      </x:c>
    </x:row>
    <x:row r="66">
      <x:c r="A66" t="n">
        <x:v>61</x:v>
      </x:c>
      <x:c r="B66" t="str">
        <x:v>Finale Berichtrevision → PDF</x:v>
      </x:c>
      <x:c r="C66" t="str">
        <x:v>Aktuelle finalisierte Berichtrevision vorhanden.</x:v>
      </x:c>
      <x:c r="D66" t="str">
        <x:v>Revision öffnen; „Finales PDF erstellen“ wählen; Status prüfen; PDF öffnen.</x:v>
      </x:c>
      <x:c r="E66" t="str">
        <x:v>PDF entsteht ausschließlich aus der aktuellen unveränderlichen Revision und ist vollständig lesbar.</x:v>
      </x:c>
      <x:c r="F66" t="str">
        <x:v>Entwurfs-PDF nicht verwechseln; keine PDF-Aktion bei ersetzter Revision.</x:v>
      </x:c>
      <x:c r="G66" t="str">
        <x:v>Aktuelle Revision liefert ein lesbares PDF und einen nachvollziehbaren Artefaktstatus.</x:v>
      </x:c>
      <x:c r="H66" t="str">
        <x:v>Bug/UX, Test 61.</x:v>
      </x:c>
    </x:row>
    <x:row r="67">
      <x:c r="A67" t="n">
        <x:v>62</x:v>
      </x:c>
      <x:c r="B67" t="str">
        <x:v>LEG → Abschluss</x:v>
      </x:c>
      <x:c r="C67" t="str">
        <x:v>Vollständigen gespeicherten LEG-Draft vorbereiten.</x:v>
      </x:c>
      <x:c r="D67" t="str">
        <x:v>Gespräch abschließen; Bestätigung lesen und bestätigen; Status und Historie prüfen.</x:v>
      </x:c>
      <x:c r="E67" t="str">
        <x:v>Unveränderlicher Abschlussstand entsteht; Draft bleibt für spätere Korrektur getrennt bearbeitbar.</x:v>
      </x:c>
      <x:c r="F67" t="str">
        <x:v>Abschluss darf keine Live-Daten still in die Revision nachladen.</x:v>
      </x:c>
      <x:c r="G67" t="str">
        <x:v>Abschlussstatus und erste Revision sind eindeutig und nachvollziehbar.</x:v>
      </x:c>
      <x:c r="H67" t="str">
        <x:v>Bug/UX, Test 62.</x:v>
      </x:c>
    </x:row>
    <x:row r="68">
      <x:c r="A68" t="n">
        <x:v>63</x:v>
      </x:c>
      <x:c r="B68" t="str">
        <x:v>LEG → Abschluss</x:v>
      </x:c>
      <x:c r="C68" t="str">
        <x:v>Draft mit fehlendem Pflichtinhalt oder nicht verfügbarem Beleg vorbereiten.</x:v>
      </x:c>
      <x:c r="D68" t="str">
        <x:v>Gespräch abschließen versuchen; angezeigte Meldung lesen; zur genannten Phase wechseln.</x:v>
      </x:c>
      <x:c r="E68" t="str">
        <x:v>Abschluss wird blockiert; Inline-Meldung benennt eine konkrete Korrektur und führt zur passenden Phase.</x:v>
      </x:c>
      <x:c r="F68" t="str">
        <x:v>Kein technischer Fehlertext, keine unvollständige Revision.</x:v>
      </x:c>
      <x:c r="G68" t="str">
        <x:v>Fehler ist verständlich behebbar und es entsteht keine Revision.</x:v>
      </x:c>
      <x:c r="H68" t="str">
        <x:v>Bug/UX, Test 63.</x:v>
      </x:c>
    </x:row>
    <x:row r="69">
      <x:c r="A69" t="n">
        <x:v>64</x:v>
      </x:c>
      <x:c r="B69" t="str">
        <x:v>LEG → Revisionshistorie</x:v>
      </x:c>
      <x:c r="C69" t="str">
        <x:v>Abgeschlossenes LEG und geänderter Draft vorhanden.</x:v>
      </x:c>
      <x:c r="D69" t="str">
        <x:v>Historie öffnen; Revision öffnen; Eingabefelder und Aktionen prüfen; Draft anschließend ändern und Revision erneut öffnen.</x:v>
      </x:c>
      <x:c r="E69" t="str">
        <x:v>Revision ist schreibgeschützt, snapshotbasiert und bleibt nach Draftänderung unverändert.</x:v>
      </x:c>
      <x:c r="F69" t="str">
        <x:v>Keine Bearbeiten-, Löschen- oder Entsperren-Aktion in der Revision.</x:v>
      </x:c>
      <x:c r="G69" t="str">
        <x:v>Historische Fassung ist vollständig lesbar und stabil.</x:v>
      </x:c>
      <x:c r="H69" t="str">
        <x:v>Bug/UX, Test 64.</x:v>
      </x:c>
    </x:row>
    <x:row r="70">
      <x:c r="A70" t="n">
        <x:v>65</x:v>
      </x:c>
      <x:c r="B70" t="str">
        <x:v>Finale LEG-Revision → PDF</x:v>
      </x:c>
      <x:c r="C70" t="str">
        <x:v>Aktuelle abgeschlossene LEG-Revision vorhanden.</x:v>
      </x:c>
      <x:c r="D70" t="str">
        <x:v>Revision öffnen; „Finales PDF erstellen“ wählen; Status prüfen; PDF öffnen.</x:v>
      </x:c>
      <x:c r="E70" t="str">
        <x:v>PDF entsteht ausschließlich aus der aktuellen unveränderlichen LEG-Revision und ist vollständig lesbar.</x:v>
      </x:c>
      <x:c r="F70" t="str">
        <x:v>Keine PDF-Aktion bei ersetzter Revision; Entwurfsinhalte nicht als Revision ausgeben.</x:v>
      </x:c>
      <x:c r="G70" t="str">
        <x:v>Aktuelle Revision liefert ein lesbares PDF und einen nachvollziehbaren Artefaktstatus.</x:v>
      </x:c>
      <x:c r="H70" t="str">
        <x:v>Bug/UX, Test 65.</x:v>
      </x:c>
    </x:row>
  </x:sheetData>
  <x:mergeCells>
    <x:mergeCell ref="A1:H1"/>
    <x:mergeCell ref="A2:H3"/>
  </x:mergeCells>
  <x:pageMargins left="0.7" right="0.7" top="0.75" bottom="0.75" header="0.3" footer="0.3"/>
</x:worksheet>
</file>

<file path=xl/worksheets/sheet4.xml><?xml version="1.0" encoding="utf-8"?>
<x:worksheet xmlns:x="http://schemas.openxmlformats.org/spreadsheetml/2006/main">
  <x:sheetFormatPr defaultRowHeight="15"/>
  <x:cols>
    <x:col min="1" max="1" width="6" hidden="0" customWidth="1"/>
    <x:col min="2" max="2" width="10" hidden="0" customWidth="1"/>
    <x:col min="3" max="3" width="24" hidden="0" customWidth="1"/>
    <x:col min="4" max="4" width="22" hidden="0" customWidth="1"/>
    <x:col min="5" max="5" width="14" hidden="0" customWidth="1"/>
    <x:col min="6" max="6" width="44" hidden="0" customWidth="1"/>
    <x:col min="7" max="7" width="36" hidden="0" customWidth="1"/>
    <x:col min="8" max="8" width="36" hidden="0" customWidth="1"/>
    <x:col min="9" max="9" width="16" hidden="0" customWidth="1"/>
    <x:col min="10" max="10" width="24" hidden="0" customWidth="1"/>
    <x:col min="11" max="11" width="16" hidden="0" customWidth="1"/>
  </x:cols>
  <x:sheetData>
    <x:row r="1">
      <x:c r="A1" s="33" t="str">
        <x:v>Pilotfeedback</x:v>
      </x:c>
      <x:c r="B1" s="33"/>
      <x:c r="C1" s="33"/>
      <x:c r="D1" s="33"/>
      <x:c r="E1" s="33"/>
      <x:c r="F1" s="33"/>
      <x:c r="G1" s="33"/>
      <x:c r="H1" s="33"/>
      <x:c r="I1" s="33"/>
      <x:c r="J1" s="33"/>
      <x:c r="K1" s="33"/>
    </x:row>
    <x:row r="2">
      <x:c r="A2" s="83" t="str">
        <x:v>Eine Auffälligkeit pro Zeile. Test-Nr., Kategorie und konkrete Beobachtung reichen für den Anfang; Erwartung, tatsächliches Verhalten und Screenshot helfen bei Bugs.</x:v>
      </x:c>
      <x:c r="B2" s="83"/>
      <x:c r="C2" s="83"/>
      <x:c r="D2" s="83"/>
      <x:c r="E2" s="83"/>
      <x:c r="F2" s="83"/>
      <x:c r="G2" s="83"/>
      <x:c r="H2" s="83"/>
      <x:c r="I2" s="83"/>
      <x:c r="J2" s="83"/>
      <x:c r="K2" s="83"/>
    </x:row>
    <x:row r="4">
      <x:c r="A4" s="13" t="str">
        <x:v>Nr.</x:v>
      </x:c>
      <x:c r="B4" s="14" t="str">
        <x:v>Test-Nr.</x:v>
      </x:c>
      <x:c r="C4" s="14" t="str">
        <x:v>Bereich</x:v>
      </x:c>
      <x:c r="D4" s="14" t="str">
        <x:v>Kategorie</x:v>
      </x:c>
      <x:c r="E4" s="14" t="str">
        <x:v>Schweregrad</x:v>
      </x:c>
      <x:c r="F4" s="14" t="str">
        <x:v>Beschreibung / Beobachtung</x:v>
      </x:c>
      <x:c r="G4" s="14" t="str">
        <x:v>Erwartet</x:v>
      </x:c>
      <x:c r="H4" s="14" t="str">
        <x:v>Tatsächlich</x:v>
      </x:c>
      <x:c r="I4" s="14" t="str">
        <x:v>Reproduzierbar?</x:v>
      </x:c>
      <x:c r="J4" s="14" t="str">
        <x:v>Screenshot / Datei</x:v>
      </x:c>
      <x:c r="K4" s="15" t="str">
        <x:v>Status</x:v>
      </x:c>
    </x:row>
    <x:row r="5">
      <x:c r="A5" s="64" t="n">
        <x:v>1</x:v>
      </x:c>
      <x:c r="B5" s="65" t="str"/>
      <x:c r="C5" s="65" t="str"/>
      <x:c r="D5" s="65" t="str"/>
      <x:c r="E5" s="65" t="str"/>
      <x:c r="F5" s="65" t="str"/>
      <x:c r="G5" s="65" t="str"/>
      <x:c r="H5" s="65" t="str"/>
      <x:c r="I5" s="65" t="str"/>
      <x:c r="J5" s="65" t="str"/>
      <x:c r="K5" s="66" t="str">
        <x:v>Offen</x:v>
      </x:c>
    </x:row>
    <x:row r="6">
      <x:c r="A6" s="67" t="n">
        <x:v>2</x:v>
      </x:c>
      <x:c r="B6" s="62" t="str"/>
      <x:c r="C6" s="62" t="str"/>
      <x:c r="D6" s="62" t="str"/>
      <x:c r="E6" s="62" t="str"/>
      <x:c r="F6" s="62" t="str"/>
      <x:c r="G6" s="62" t="str"/>
      <x:c r="H6" s="62" t="str"/>
      <x:c r="I6" s="62" t="str"/>
      <x:c r="J6" s="62" t="str"/>
      <x:c r="K6" s="68" t="str">
        <x:v>Offen</x:v>
      </x:c>
    </x:row>
    <x:row r="7">
      <x:c r="A7" s="67" t="n">
        <x:v>3</x:v>
      </x:c>
      <x:c r="B7" s="62" t="str"/>
      <x:c r="C7" s="62" t="str"/>
      <x:c r="D7" s="62" t="str"/>
      <x:c r="E7" s="62" t="str"/>
      <x:c r="F7" s="62" t="str"/>
      <x:c r="G7" s="62" t="str"/>
      <x:c r="H7" s="62" t="str"/>
      <x:c r="I7" s="62" t="str"/>
      <x:c r="J7" s="62" t="str"/>
      <x:c r="K7" s="68" t="str">
        <x:v>Offen</x:v>
      </x:c>
    </x:row>
    <x:row r="8">
      <x:c r="A8" s="67" t="n">
        <x:v>4</x:v>
      </x:c>
      <x:c r="B8" s="62" t="str"/>
      <x:c r="C8" s="62" t="str"/>
      <x:c r="D8" s="62" t="str"/>
      <x:c r="E8" s="62" t="str"/>
      <x:c r="F8" s="62" t="str"/>
      <x:c r="G8" s="62" t="str"/>
      <x:c r="H8" s="62" t="str"/>
      <x:c r="I8" s="62" t="str"/>
      <x:c r="J8" s="62" t="str"/>
      <x:c r="K8" s="68" t="str">
        <x:v>Offen</x:v>
      </x:c>
    </x:row>
    <x:row r="9">
      <x:c r="A9" s="67" t="n">
        <x:v>5</x:v>
      </x:c>
      <x:c r="B9" s="62" t="str"/>
      <x:c r="C9" s="62" t="str"/>
      <x:c r="D9" s="62" t="str"/>
      <x:c r="E9" s="62" t="str"/>
      <x:c r="F9" s="62" t="str"/>
      <x:c r="G9" s="62" t="str"/>
      <x:c r="H9" s="62" t="str"/>
      <x:c r="I9" s="62" t="str"/>
      <x:c r="J9" s="62" t="str"/>
      <x:c r="K9" s="68" t="str">
        <x:v>Offen</x:v>
      </x:c>
    </x:row>
    <x:row r="10">
      <x:c r="A10" s="67" t="n">
        <x:v>6</x:v>
      </x:c>
      <x:c r="B10" s="62" t="str"/>
      <x:c r="C10" s="62" t="str"/>
      <x:c r="D10" s="62" t="str"/>
      <x:c r="E10" s="62" t="str"/>
      <x:c r="F10" s="62" t="str"/>
      <x:c r="G10" s="62" t="str"/>
      <x:c r="H10" s="62" t="str"/>
      <x:c r="I10" s="62" t="str"/>
      <x:c r="J10" s="62" t="str"/>
      <x:c r="K10" s="68" t="str">
        <x:v>Offen</x:v>
      </x:c>
    </x:row>
    <x:row r="11">
      <x:c r="A11" s="67" t="n">
        <x:v>7</x:v>
      </x:c>
      <x:c r="B11" s="62" t="str"/>
      <x:c r="C11" s="62" t="str"/>
      <x:c r="D11" s="62" t="str"/>
      <x:c r="E11" s="62" t="str"/>
      <x:c r="F11" s="62" t="str"/>
      <x:c r="G11" s="62" t="str"/>
      <x:c r="H11" s="62" t="str"/>
      <x:c r="I11" s="62" t="str"/>
      <x:c r="J11" s="62" t="str"/>
      <x:c r="K11" s="68" t="str">
        <x:v>Offen</x:v>
      </x:c>
    </x:row>
    <x:row r="12">
      <x:c r="A12" s="67" t="n">
        <x:v>8</x:v>
      </x:c>
      <x:c r="B12" s="62" t="str"/>
      <x:c r="C12" s="62" t="str"/>
      <x:c r="D12" s="62" t="str"/>
      <x:c r="E12" s="62" t="str"/>
      <x:c r="F12" s="62" t="str"/>
      <x:c r="G12" s="62" t="str"/>
      <x:c r="H12" s="62" t="str"/>
      <x:c r="I12" s="62" t="str"/>
      <x:c r="J12" s="62" t="str"/>
      <x:c r="K12" s="68" t="str">
        <x:v>Offen</x:v>
      </x:c>
    </x:row>
    <x:row r="13">
      <x:c r="A13" s="67" t="n">
        <x:v>9</x:v>
      </x:c>
      <x:c r="B13" s="62" t="str"/>
      <x:c r="C13" s="62" t="str"/>
      <x:c r="D13" s="62" t="str"/>
      <x:c r="E13" s="62" t="str"/>
      <x:c r="F13" s="62" t="str"/>
      <x:c r="G13" s="62" t="str"/>
      <x:c r="H13" s="62" t="str"/>
      <x:c r="I13" s="62" t="str"/>
      <x:c r="J13" s="62" t="str"/>
      <x:c r="K13" s="68" t="str">
        <x:v>Offen</x:v>
      </x:c>
    </x:row>
    <x:row r="14">
      <x:c r="A14" s="67" t="n">
        <x:v>10</x:v>
      </x:c>
      <x:c r="B14" s="62" t="str"/>
      <x:c r="C14" s="62" t="str"/>
      <x:c r="D14" s="62" t="str"/>
      <x:c r="E14" s="62" t="str"/>
      <x:c r="F14" s="62" t="str"/>
      <x:c r="G14" s="62" t="str"/>
      <x:c r="H14" s="62" t="str"/>
      <x:c r="I14" s="62" t="str"/>
      <x:c r="J14" s="62" t="str"/>
      <x:c r="K14" s="68" t="str">
        <x:v>Offen</x:v>
      </x:c>
    </x:row>
    <x:row r="15">
      <x:c r="A15" s="67" t="n">
        <x:v>11</x:v>
      </x:c>
      <x:c r="B15" s="62" t="str"/>
      <x:c r="C15" s="62" t="str"/>
      <x:c r="D15" s="62" t="str"/>
      <x:c r="E15" s="62" t="str"/>
      <x:c r="F15" s="62" t="str"/>
      <x:c r="G15" s="62" t="str"/>
      <x:c r="H15" s="62" t="str"/>
      <x:c r="I15" s="62" t="str"/>
      <x:c r="J15" s="62" t="str"/>
      <x:c r="K15" s="68" t="str">
        <x:v>Offen</x:v>
      </x:c>
    </x:row>
    <x:row r="16">
      <x:c r="A16" s="67" t="n">
        <x:v>12</x:v>
      </x:c>
      <x:c r="B16" s="62" t="str"/>
      <x:c r="C16" s="62" t="str"/>
      <x:c r="D16" s="62" t="str"/>
      <x:c r="E16" s="62" t="str"/>
      <x:c r="F16" s="62" t="str"/>
      <x:c r="G16" s="62" t="str"/>
      <x:c r="H16" s="62" t="str"/>
      <x:c r="I16" s="62" t="str"/>
      <x:c r="J16" s="62" t="str"/>
      <x:c r="K16" s="68" t="str">
        <x:v>Offen</x:v>
      </x:c>
    </x:row>
    <x:row r="17">
      <x:c r="A17" s="67" t="n">
        <x:v>13</x:v>
      </x:c>
      <x:c r="B17" s="62" t="str"/>
      <x:c r="C17" s="62" t="str"/>
      <x:c r="D17" s="62" t="str"/>
      <x:c r="E17" s="62" t="str"/>
      <x:c r="F17" s="62" t="str"/>
      <x:c r="G17" s="62" t="str"/>
      <x:c r="H17" s="62" t="str"/>
      <x:c r="I17" s="62" t="str"/>
      <x:c r="J17" s="62" t="str"/>
      <x:c r="K17" s="68" t="str">
        <x:v>Offen</x:v>
      </x:c>
    </x:row>
    <x:row r="18">
      <x:c r="A18" s="67" t="n">
        <x:v>14</x:v>
      </x:c>
      <x:c r="B18" s="62" t="str"/>
      <x:c r="C18" s="62" t="str"/>
      <x:c r="D18" s="62" t="str"/>
      <x:c r="E18" s="62" t="str"/>
      <x:c r="F18" s="62" t="str"/>
      <x:c r="G18" s="62" t="str"/>
      <x:c r="H18" s="62" t="str"/>
      <x:c r="I18" s="62" t="str"/>
      <x:c r="J18" s="62" t="str"/>
      <x:c r="K18" s="68" t="str">
        <x:v>Offen</x:v>
      </x:c>
    </x:row>
    <x:row r="19">
      <x:c r="A19" s="67" t="n">
        <x:v>15</x:v>
      </x:c>
      <x:c r="B19" s="62" t="str"/>
      <x:c r="C19" s="62" t="str"/>
      <x:c r="D19" s="62" t="str"/>
      <x:c r="E19" s="62" t="str"/>
      <x:c r="F19" s="62" t="str"/>
      <x:c r="G19" s="62" t="str"/>
      <x:c r="H19" s="62" t="str"/>
      <x:c r="I19" s="62" t="str"/>
      <x:c r="J19" s="62" t="str"/>
      <x:c r="K19" s="68" t="str">
        <x:v>Offen</x:v>
      </x:c>
    </x:row>
    <x:row r="20">
      <x:c r="A20" s="67" t="n">
        <x:v>16</x:v>
      </x:c>
      <x:c r="B20" s="62" t="str"/>
      <x:c r="C20" s="62" t="str"/>
      <x:c r="D20" s="62" t="str"/>
      <x:c r="E20" s="62" t="str"/>
      <x:c r="F20" s="62" t="str"/>
      <x:c r="G20" s="62" t="str"/>
      <x:c r="H20" s="62" t="str"/>
      <x:c r="I20" s="62" t="str"/>
      <x:c r="J20" s="62" t="str"/>
      <x:c r="K20" s="68" t="str">
        <x:v>Offen</x:v>
      </x:c>
    </x:row>
    <x:row r="21">
      <x:c r="A21" s="67" t="n">
        <x:v>17</x:v>
      </x:c>
      <x:c r="B21" s="62" t="str"/>
      <x:c r="C21" s="62" t="str"/>
      <x:c r="D21" s="62" t="str"/>
      <x:c r="E21" s="62" t="str"/>
      <x:c r="F21" s="62" t="str"/>
      <x:c r="G21" s="62" t="str"/>
      <x:c r="H21" s="62" t="str"/>
      <x:c r="I21" s="62" t="str"/>
      <x:c r="J21" s="62" t="str"/>
      <x:c r="K21" s="68" t="str">
        <x:v>Offen</x:v>
      </x:c>
    </x:row>
    <x:row r="22">
      <x:c r="A22" s="67" t="n">
        <x:v>18</x:v>
      </x:c>
      <x:c r="B22" s="62" t="str"/>
      <x:c r="C22" s="62" t="str"/>
      <x:c r="D22" s="62" t="str"/>
      <x:c r="E22" s="62" t="str"/>
      <x:c r="F22" s="62" t="str"/>
      <x:c r="G22" s="62" t="str"/>
      <x:c r="H22" s="62" t="str"/>
      <x:c r="I22" s="62" t="str"/>
      <x:c r="J22" s="62" t="str"/>
      <x:c r="K22" s="68" t="str">
        <x:v>Offen</x:v>
      </x:c>
    </x:row>
    <x:row r="23">
      <x:c r="A23" s="67" t="n">
        <x:v>19</x:v>
      </x:c>
      <x:c r="B23" s="62" t="str"/>
      <x:c r="C23" s="62" t="str"/>
      <x:c r="D23" s="62" t="str"/>
      <x:c r="E23" s="62" t="str"/>
      <x:c r="F23" s="62" t="str"/>
      <x:c r="G23" s="62" t="str"/>
      <x:c r="H23" s="62" t="str"/>
      <x:c r="I23" s="62" t="str"/>
      <x:c r="J23" s="62" t="str"/>
      <x:c r="K23" s="68" t="str">
        <x:v>Offen</x:v>
      </x:c>
    </x:row>
    <x:row r="24">
      <x:c r="A24" s="67" t="n">
        <x:v>20</x:v>
      </x:c>
      <x:c r="B24" s="62" t="str"/>
      <x:c r="C24" s="62" t="str"/>
      <x:c r="D24" s="62" t="str"/>
      <x:c r="E24" s="62" t="str"/>
      <x:c r="F24" s="62" t="str"/>
      <x:c r="G24" s="62" t="str"/>
      <x:c r="H24" s="62" t="str"/>
      <x:c r="I24" s="62" t="str"/>
      <x:c r="J24" s="62" t="str"/>
      <x:c r="K24" s="68" t="str">
        <x:v>Offen</x:v>
      </x:c>
    </x:row>
    <x:row r="25">
      <x:c r="A25" s="67" t="n">
        <x:v>21</x:v>
      </x:c>
      <x:c r="B25" s="62" t="str"/>
      <x:c r="C25" s="62" t="str"/>
      <x:c r="D25" s="62" t="str"/>
      <x:c r="E25" s="62" t="str"/>
      <x:c r="F25" s="62" t="str"/>
      <x:c r="G25" s="62" t="str"/>
      <x:c r="H25" s="62" t="str"/>
      <x:c r="I25" s="62" t="str"/>
      <x:c r="J25" s="62" t="str"/>
      <x:c r="K25" s="68" t="str">
        <x:v>Offen</x:v>
      </x:c>
    </x:row>
    <x:row r="26">
      <x:c r="A26" s="67" t="n">
        <x:v>22</x:v>
      </x:c>
      <x:c r="B26" s="62" t="str"/>
      <x:c r="C26" s="62" t="str"/>
      <x:c r="D26" s="62" t="str"/>
      <x:c r="E26" s="62" t="str"/>
      <x:c r="F26" s="62" t="str"/>
      <x:c r="G26" s="62" t="str"/>
      <x:c r="H26" s="62" t="str"/>
      <x:c r="I26" s="62" t="str"/>
      <x:c r="J26" s="62" t="str"/>
      <x:c r="K26" s="68" t="str">
        <x:v>Offen</x:v>
      </x:c>
    </x:row>
    <x:row r="27">
      <x:c r="A27" s="67" t="n">
        <x:v>23</x:v>
      </x:c>
      <x:c r="B27" s="62" t="str"/>
      <x:c r="C27" s="62" t="str"/>
      <x:c r="D27" s="62" t="str"/>
      <x:c r="E27" s="62" t="str"/>
      <x:c r="F27" s="62" t="str"/>
      <x:c r="G27" s="62" t="str"/>
      <x:c r="H27" s="62" t="str"/>
      <x:c r="I27" s="62" t="str"/>
      <x:c r="J27" s="62" t="str"/>
      <x:c r="K27" s="68" t="str">
        <x:v>Offen</x:v>
      </x:c>
    </x:row>
    <x:row r="28">
      <x:c r="A28" s="67" t="n">
        <x:v>24</x:v>
      </x:c>
      <x:c r="B28" s="62" t="str"/>
      <x:c r="C28" s="62" t="str"/>
      <x:c r="D28" s="62" t="str"/>
      <x:c r="E28" s="62" t="str"/>
      <x:c r="F28" s="62" t="str"/>
      <x:c r="G28" s="62" t="str"/>
      <x:c r="H28" s="62" t="str"/>
      <x:c r="I28" s="62" t="str"/>
      <x:c r="J28" s="62" t="str"/>
      <x:c r="K28" s="68" t="str">
        <x:v>Offen</x:v>
      </x:c>
    </x:row>
    <x:row r="29">
      <x:c r="A29" s="67" t="n">
        <x:v>25</x:v>
      </x:c>
      <x:c r="B29" s="62" t="str"/>
      <x:c r="C29" s="62" t="str"/>
      <x:c r="D29" s="62" t="str"/>
      <x:c r="E29" s="62" t="str"/>
      <x:c r="F29" s="62" t="str"/>
      <x:c r="G29" s="62" t="str"/>
      <x:c r="H29" s="62" t="str"/>
      <x:c r="I29" s="62" t="str"/>
      <x:c r="J29" s="62" t="str"/>
      <x:c r="K29" s="68" t="str">
        <x:v>Offen</x:v>
      </x:c>
    </x:row>
    <x:row r="30">
      <x:c r="A30" s="67" t="n">
        <x:v>26</x:v>
      </x:c>
      <x:c r="B30" s="62" t="str"/>
      <x:c r="C30" s="62" t="str"/>
      <x:c r="D30" s="62" t="str"/>
      <x:c r="E30" s="62" t="str"/>
      <x:c r="F30" s="62" t="str"/>
      <x:c r="G30" s="62" t="str"/>
      <x:c r="H30" s="62" t="str"/>
      <x:c r="I30" s="62" t="str"/>
      <x:c r="J30" s="62" t="str"/>
      <x:c r="K30" s="68" t="str">
        <x:v>Offen</x:v>
      </x:c>
    </x:row>
    <x:row r="31">
      <x:c r="A31" s="67" t="n">
        <x:v>27</x:v>
      </x:c>
      <x:c r="B31" s="62" t="str"/>
      <x:c r="C31" s="62" t="str"/>
      <x:c r="D31" s="62" t="str"/>
      <x:c r="E31" s="62" t="str"/>
      <x:c r="F31" s="62" t="str"/>
      <x:c r="G31" s="62" t="str"/>
      <x:c r="H31" s="62" t="str"/>
      <x:c r="I31" s="62" t="str"/>
      <x:c r="J31" s="62" t="str"/>
      <x:c r="K31" s="68" t="str">
        <x:v>Offen</x:v>
      </x:c>
    </x:row>
    <x:row r="32">
      <x:c r="A32" s="67" t="n">
        <x:v>28</x:v>
      </x:c>
      <x:c r="B32" s="62" t="str"/>
      <x:c r="C32" s="62" t="str"/>
      <x:c r="D32" s="62" t="str"/>
      <x:c r="E32" s="62" t="str"/>
      <x:c r="F32" s="62" t="str"/>
      <x:c r="G32" s="62" t="str"/>
      <x:c r="H32" s="62" t="str"/>
      <x:c r="I32" s="62" t="str"/>
      <x:c r="J32" s="62" t="str"/>
      <x:c r="K32" s="68" t="str">
        <x:v>Offen</x:v>
      </x:c>
    </x:row>
    <x:row r="33">
      <x:c r="A33" s="67" t="n">
        <x:v>29</x:v>
      </x:c>
      <x:c r="B33" s="62" t="str"/>
      <x:c r="C33" s="62" t="str"/>
      <x:c r="D33" s="62" t="str"/>
      <x:c r="E33" s="62" t="str"/>
      <x:c r="F33" s="62" t="str"/>
      <x:c r="G33" s="62" t="str"/>
      <x:c r="H33" s="62" t="str"/>
      <x:c r="I33" s="62" t="str"/>
      <x:c r="J33" s="62" t="str"/>
      <x:c r="K33" s="68" t="str">
        <x:v>Offen</x:v>
      </x:c>
    </x:row>
    <x:row r="34">
      <x:c r="A34" s="67" t="n">
        <x:v>30</x:v>
      </x:c>
      <x:c r="B34" s="62" t="str"/>
      <x:c r="C34" s="62" t="str"/>
      <x:c r="D34" s="62" t="str"/>
      <x:c r="E34" s="62" t="str"/>
      <x:c r="F34" s="62" t="str"/>
      <x:c r="G34" s="62" t="str"/>
      <x:c r="H34" s="62" t="str"/>
      <x:c r="I34" s="62" t="str"/>
      <x:c r="J34" s="62" t="str"/>
      <x:c r="K34" s="68" t="str">
        <x:v>Offen</x:v>
      </x:c>
    </x:row>
    <x:row r="35">
      <x:c r="A35" s="67" t="n">
        <x:v>31</x:v>
      </x:c>
      <x:c r="B35" s="62" t="str"/>
      <x:c r="C35" s="62" t="str"/>
      <x:c r="D35" s="62" t="str"/>
      <x:c r="E35" s="62" t="str"/>
      <x:c r="F35" s="62" t="str"/>
      <x:c r="G35" s="62" t="str"/>
      <x:c r="H35" s="62" t="str"/>
      <x:c r="I35" s="62" t="str"/>
      <x:c r="J35" s="62" t="str"/>
      <x:c r="K35" s="68" t="str">
        <x:v>Offen</x:v>
      </x:c>
    </x:row>
    <x:row r="36">
      <x:c r="A36" s="67" t="n">
        <x:v>32</x:v>
      </x:c>
      <x:c r="B36" s="62" t="str"/>
      <x:c r="C36" s="62" t="str"/>
      <x:c r="D36" s="62" t="str"/>
      <x:c r="E36" s="62" t="str"/>
      <x:c r="F36" s="62" t="str"/>
      <x:c r="G36" s="62" t="str"/>
      <x:c r="H36" s="62" t="str"/>
      <x:c r="I36" s="62" t="str"/>
      <x:c r="J36" s="62" t="str"/>
      <x:c r="K36" s="68" t="str">
        <x:v>Offen</x:v>
      </x:c>
    </x:row>
    <x:row r="37">
      <x:c r="A37" s="67" t="n">
        <x:v>33</x:v>
      </x:c>
      <x:c r="B37" s="62" t="str"/>
      <x:c r="C37" s="62" t="str"/>
      <x:c r="D37" s="62" t="str"/>
      <x:c r="E37" s="62" t="str"/>
      <x:c r="F37" s="62" t="str"/>
      <x:c r="G37" s="62" t="str"/>
      <x:c r="H37" s="62" t="str"/>
      <x:c r="I37" s="62" t="str"/>
      <x:c r="J37" s="62" t="str"/>
      <x:c r="K37" s="68" t="str">
        <x:v>Offen</x:v>
      </x:c>
    </x:row>
    <x:row r="38">
      <x:c r="A38" s="67" t="n">
        <x:v>34</x:v>
      </x:c>
      <x:c r="B38" s="62" t="str"/>
      <x:c r="C38" s="62" t="str"/>
      <x:c r="D38" s="62" t="str"/>
      <x:c r="E38" s="62" t="str"/>
      <x:c r="F38" s="62" t="str"/>
      <x:c r="G38" s="62" t="str"/>
      <x:c r="H38" s="62" t="str"/>
      <x:c r="I38" s="62" t="str"/>
      <x:c r="J38" s="62" t="str"/>
      <x:c r="K38" s="68" t="str">
        <x:v>Offen</x:v>
      </x:c>
    </x:row>
    <x:row r="39">
      <x:c r="A39" s="67" t="n">
        <x:v>35</x:v>
      </x:c>
      <x:c r="B39" s="62" t="str"/>
      <x:c r="C39" s="62" t="str"/>
      <x:c r="D39" s="62" t="str"/>
      <x:c r="E39" s="62" t="str"/>
      <x:c r="F39" s="62" t="str"/>
      <x:c r="G39" s="62" t="str"/>
      <x:c r="H39" s="62" t="str"/>
      <x:c r="I39" s="62" t="str"/>
      <x:c r="J39" s="62" t="str"/>
      <x:c r="K39" s="68" t="str">
        <x:v>Offen</x:v>
      </x:c>
    </x:row>
    <x:row r="40">
      <x:c r="A40" s="67" t="n">
        <x:v>36</x:v>
      </x:c>
      <x:c r="B40" s="62" t="str"/>
      <x:c r="C40" s="62" t="str"/>
      <x:c r="D40" s="62" t="str"/>
      <x:c r="E40" s="62" t="str"/>
      <x:c r="F40" s="62" t="str"/>
      <x:c r="G40" s="62" t="str"/>
      <x:c r="H40" s="62" t="str"/>
      <x:c r="I40" s="62" t="str"/>
      <x:c r="J40" s="62" t="str"/>
      <x:c r="K40" s="68" t="str">
        <x:v>Offen</x:v>
      </x:c>
    </x:row>
    <x:row r="41">
      <x:c r="A41" s="67" t="n">
        <x:v>37</x:v>
      </x:c>
      <x:c r="B41" s="62" t="str"/>
      <x:c r="C41" s="62" t="str"/>
      <x:c r="D41" s="62" t="str"/>
      <x:c r="E41" s="62" t="str"/>
      <x:c r="F41" s="62" t="str"/>
      <x:c r="G41" s="62" t="str"/>
      <x:c r="H41" s="62" t="str"/>
      <x:c r="I41" s="62" t="str"/>
      <x:c r="J41" s="62" t="str"/>
      <x:c r="K41" s="68" t="str">
        <x:v>Offen</x:v>
      </x:c>
    </x:row>
    <x:row r="42">
      <x:c r="A42" s="67" t="n">
        <x:v>38</x:v>
      </x:c>
      <x:c r="B42" s="62" t="str"/>
      <x:c r="C42" s="62" t="str"/>
      <x:c r="D42" s="62" t="str"/>
      <x:c r="E42" s="62" t="str"/>
      <x:c r="F42" s="62" t="str"/>
      <x:c r="G42" s="62" t="str"/>
      <x:c r="H42" s="62" t="str"/>
      <x:c r="I42" s="62" t="str"/>
      <x:c r="J42" s="62" t="str"/>
      <x:c r="K42" s="68" t="str">
        <x:v>Offen</x:v>
      </x:c>
    </x:row>
    <x:row r="43">
      <x:c r="A43" s="67" t="n">
        <x:v>39</x:v>
      </x:c>
      <x:c r="B43" s="62" t="str"/>
      <x:c r="C43" s="62" t="str"/>
      <x:c r="D43" s="62" t="str"/>
      <x:c r="E43" s="62" t="str"/>
      <x:c r="F43" s="62" t="str"/>
      <x:c r="G43" s="62" t="str"/>
      <x:c r="H43" s="62" t="str"/>
      <x:c r="I43" s="62" t="str"/>
      <x:c r="J43" s="62" t="str"/>
      <x:c r="K43" s="68" t="str">
        <x:v>Offen</x:v>
      </x:c>
    </x:row>
    <x:row r="44">
      <x:c r="A44" s="67" t="n">
        <x:v>40</x:v>
      </x:c>
      <x:c r="B44" s="62" t="str"/>
      <x:c r="C44" s="62" t="str"/>
      <x:c r="D44" s="62" t="str"/>
      <x:c r="E44" s="62" t="str"/>
      <x:c r="F44" s="62" t="str"/>
      <x:c r="G44" s="62" t="str"/>
      <x:c r="H44" s="62" t="str"/>
      <x:c r="I44" s="62" t="str"/>
      <x:c r="J44" s="62" t="str"/>
      <x:c r="K44" s="68" t="str">
        <x:v>Offen</x:v>
      </x:c>
    </x:row>
    <x:row r="45">
      <x:c r="A45" s="67" t="n">
        <x:v>41</x:v>
      </x:c>
      <x:c r="B45" s="62" t="str"/>
      <x:c r="C45" s="62" t="str"/>
      <x:c r="D45" s="62" t="str"/>
      <x:c r="E45" s="62" t="str"/>
      <x:c r="F45" s="62" t="str"/>
      <x:c r="G45" s="62" t="str"/>
      <x:c r="H45" s="62" t="str"/>
      <x:c r="I45" s="62" t="str"/>
      <x:c r="J45" s="62" t="str"/>
      <x:c r="K45" s="68" t="str">
        <x:v>Offen</x:v>
      </x:c>
    </x:row>
    <x:row r="46">
      <x:c r="A46" s="67" t="n">
        <x:v>42</x:v>
      </x:c>
      <x:c r="B46" s="62" t="str"/>
      <x:c r="C46" s="62" t="str"/>
      <x:c r="D46" s="62" t="str"/>
      <x:c r="E46" s="62" t="str"/>
      <x:c r="F46" s="62" t="str"/>
      <x:c r="G46" s="62" t="str"/>
      <x:c r="H46" s="62" t="str"/>
      <x:c r="I46" s="62" t="str"/>
      <x:c r="J46" s="62" t="str"/>
      <x:c r="K46" s="68" t="str">
        <x:v>Offen</x:v>
      </x:c>
    </x:row>
    <x:row r="47">
      <x:c r="A47" s="67" t="n">
        <x:v>43</x:v>
      </x:c>
      <x:c r="B47" s="62" t="str"/>
      <x:c r="C47" s="62" t="str"/>
      <x:c r="D47" s="62" t="str"/>
      <x:c r="E47" s="62" t="str"/>
      <x:c r="F47" s="62" t="str"/>
      <x:c r="G47" s="62" t="str"/>
      <x:c r="H47" s="62" t="str"/>
      <x:c r="I47" s="62" t="str"/>
      <x:c r="J47" s="62" t="str"/>
      <x:c r="K47" s="68" t="str">
        <x:v>Offen</x:v>
      </x:c>
    </x:row>
    <x:row r="48">
      <x:c r="A48" s="67" t="n">
        <x:v>44</x:v>
      </x:c>
      <x:c r="B48" s="62" t="str"/>
      <x:c r="C48" s="62" t="str"/>
      <x:c r="D48" s="62" t="str"/>
      <x:c r="E48" s="62" t="str"/>
      <x:c r="F48" s="62" t="str"/>
      <x:c r="G48" s="62" t="str"/>
      <x:c r="H48" s="62" t="str"/>
      <x:c r="I48" s="62" t="str"/>
      <x:c r="J48" s="62" t="str"/>
      <x:c r="K48" s="68" t="str">
        <x:v>Offen</x:v>
      </x:c>
    </x:row>
    <x:row r="49">
      <x:c r="A49" s="67" t="n">
        <x:v>45</x:v>
      </x:c>
      <x:c r="B49" s="62" t="str"/>
      <x:c r="C49" s="62" t="str"/>
      <x:c r="D49" s="62" t="str"/>
      <x:c r="E49" s="62" t="str"/>
      <x:c r="F49" s="62" t="str"/>
      <x:c r="G49" s="62" t="str"/>
      <x:c r="H49" s="62" t="str"/>
      <x:c r="I49" s="62" t="str"/>
      <x:c r="J49" s="62" t="str"/>
      <x:c r="K49" s="68" t="str">
        <x:v>Offen</x:v>
      </x:c>
    </x:row>
    <x:row r="50">
      <x:c r="A50" s="67" t="n">
        <x:v>46</x:v>
      </x:c>
      <x:c r="B50" s="62" t="str"/>
      <x:c r="C50" s="62" t="str"/>
      <x:c r="D50" s="62" t="str"/>
      <x:c r="E50" s="62" t="str"/>
      <x:c r="F50" s="62" t="str"/>
      <x:c r="G50" s="62" t="str"/>
      <x:c r="H50" s="62" t="str"/>
      <x:c r="I50" s="62" t="str"/>
      <x:c r="J50" s="62" t="str"/>
      <x:c r="K50" s="68" t="str">
        <x:v>Offen</x:v>
      </x:c>
    </x:row>
    <x:row r="51">
      <x:c r="A51" s="67" t="n">
        <x:v>47</x:v>
      </x:c>
      <x:c r="B51" s="62" t="str"/>
      <x:c r="C51" s="62" t="str"/>
      <x:c r="D51" s="62" t="str"/>
      <x:c r="E51" s="62" t="str"/>
      <x:c r="F51" s="62" t="str"/>
      <x:c r="G51" s="62" t="str"/>
      <x:c r="H51" s="62" t="str"/>
      <x:c r="I51" s="62" t="str"/>
      <x:c r="J51" s="62" t="str"/>
      <x:c r="K51" s="68" t="str">
        <x:v>Offen</x:v>
      </x:c>
    </x:row>
    <x:row r="52">
      <x:c r="A52" s="67" t="n">
        <x:v>48</x:v>
      </x:c>
      <x:c r="B52" s="62" t="str"/>
      <x:c r="C52" s="62" t="str"/>
      <x:c r="D52" s="62" t="str"/>
      <x:c r="E52" s="62" t="str"/>
      <x:c r="F52" s="62" t="str"/>
      <x:c r="G52" s="62" t="str"/>
      <x:c r="H52" s="62" t="str"/>
      <x:c r="I52" s="62" t="str"/>
      <x:c r="J52" s="62" t="str"/>
      <x:c r="K52" s="68" t="str">
        <x:v>Offen</x:v>
      </x:c>
    </x:row>
    <x:row r="53">
      <x:c r="A53" s="67" t="n">
        <x:v>49</x:v>
      </x:c>
      <x:c r="B53" s="62" t="str"/>
      <x:c r="C53" s="62" t="str"/>
      <x:c r="D53" s="62" t="str"/>
      <x:c r="E53" s="62" t="str"/>
      <x:c r="F53" s="62" t="str"/>
      <x:c r="G53" s="62" t="str"/>
      <x:c r="H53" s="62" t="str"/>
      <x:c r="I53" s="62" t="str"/>
      <x:c r="J53" s="62" t="str"/>
      <x:c r="K53" s="68" t="str">
        <x:v>Offen</x:v>
      </x:c>
    </x:row>
    <x:row r="54">
      <x:c r="A54" s="67" t="n">
        <x:v>50</x:v>
      </x:c>
      <x:c r="B54" s="62" t="str"/>
      <x:c r="C54" s="62" t="str"/>
      <x:c r="D54" s="62" t="str"/>
      <x:c r="E54" s="62" t="str"/>
      <x:c r="F54" s="62" t="str"/>
      <x:c r="G54" s="62" t="str"/>
      <x:c r="H54" s="62" t="str"/>
      <x:c r="I54" s="62" t="str"/>
      <x:c r="J54" s="62" t="str"/>
      <x:c r="K54" s="68" t="str">
        <x:v>Offen</x:v>
      </x:c>
    </x:row>
    <x:row r="55">
      <x:c r="A55" s="67" t="n">
        <x:v>51</x:v>
      </x:c>
      <x:c r="B55" s="62" t="str"/>
      <x:c r="C55" s="62" t="str"/>
      <x:c r="D55" s="62" t="str"/>
      <x:c r="E55" s="62" t="str"/>
      <x:c r="F55" s="62" t="str"/>
      <x:c r="G55" s="62" t="str"/>
      <x:c r="H55" s="62" t="str"/>
      <x:c r="I55" s="62" t="str"/>
      <x:c r="J55" s="62" t="str"/>
      <x:c r="K55" s="68" t="str">
        <x:v>Offen</x:v>
      </x:c>
    </x:row>
    <x:row r="56">
      <x:c r="A56" s="67" t="n">
        <x:v>52</x:v>
      </x:c>
      <x:c r="B56" s="62" t="str"/>
      <x:c r="C56" s="62" t="str"/>
      <x:c r="D56" s="62" t="str"/>
      <x:c r="E56" s="62" t="str"/>
      <x:c r="F56" s="62" t="str"/>
      <x:c r="G56" s="62" t="str"/>
      <x:c r="H56" s="62" t="str"/>
      <x:c r="I56" s="62" t="str"/>
      <x:c r="J56" s="62" t="str"/>
      <x:c r="K56" s="68" t="str">
        <x:v>Offen</x:v>
      </x:c>
    </x:row>
    <x:row r="57">
      <x:c r="A57" s="67" t="n">
        <x:v>53</x:v>
      </x:c>
      <x:c r="B57" s="62" t="str"/>
      <x:c r="C57" s="62" t="str"/>
      <x:c r="D57" s="62" t="str"/>
      <x:c r="E57" s="62" t="str"/>
      <x:c r="F57" s="62" t="str"/>
      <x:c r="G57" s="62" t="str"/>
      <x:c r="H57" s="62" t="str"/>
      <x:c r="I57" s="62" t="str"/>
      <x:c r="J57" s="62" t="str"/>
      <x:c r="K57" s="68" t="str">
        <x:v>Offen</x:v>
      </x:c>
    </x:row>
    <x:row r="58">
      <x:c r="A58" s="67" t="n">
        <x:v>54</x:v>
      </x:c>
      <x:c r="B58" s="62" t="str"/>
      <x:c r="C58" s="62" t="str"/>
      <x:c r="D58" s="62" t="str"/>
      <x:c r="E58" s="62" t="str"/>
      <x:c r="F58" s="62" t="str"/>
      <x:c r="G58" s="62" t="str"/>
      <x:c r="H58" s="62" t="str"/>
      <x:c r="I58" s="62" t="str"/>
      <x:c r="J58" s="62" t="str"/>
      <x:c r="K58" s="68" t="str">
        <x:v>Offen</x:v>
      </x:c>
    </x:row>
    <x:row r="59">
      <x:c r="A59" s="67" t="n">
        <x:v>55</x:v>
      </x:c>
      <x:c r="B59" s="62" t="str"/>
      <x:c r="C59" s="62" t="str"/>
      <x:c r="D59" s="62" t="str"/>
      <x:c r="E59" s="62" t="str"/>
      <x:c r="F59" s="62" t="str"/>
      <x:c r="G59" s="62" t="str"/>
      <x:c r="H59" s="62" t="str"/>
      <x:c r="I59" s="62" t="str"/>
      <x:c r="J59" s="62" t="str"/>
      <x:c r="K59" s="68" t="str">
        <x:v>Offen</x:v>
      </x:c>
    </x:row>
    <x:row r="60">
      <x:c r="A60" s="67" t="n">
        <x:v>56</x:v>
      </x:c>
      <x:c r="B60" s="62" t="str"/>
      <x:c r="C60" s="62" t="str"/>
      <x:c r="D60" s="62" t="str"/>
      <x:c r="E60" s="62" t="str"/>
      <x:c r="F60" s="62" t="str"/>
      <x:c r="G60" s="62" t="str"/>
      <x:c r="H60" s="62" t="str"/>
      <x:c r="I60" s="62" t="str"/>
      <x:c r="J60" s="62" t="str"/>
      <x:c r="K60" s="68" t="str">
        <x:v>Offen</x:v>
      </x:c>
    </x:row>
    <x:row r="61">
      <x:c r="A61" s="67" t="n">
        <x:v>57</x:v>
      </x:c>
      <x:c r="B61" s="62" t="str"/>
      <x:c r="C61" s="62" t="str"/>
      <x:c r="D61" s="62" t="str"/>
      <x:c r="E61" s="62" t="str"/>
      <x:c r="F61" s="62" t="str"/>
      <x:c r="G61" s="62" t="str"/>
      <x:c r="H61" s="62" t="str"/>
      <x:c r="I61" s="62" t="str"/>
      <x:c r="J61" s="62" t="str"/>
      <x:c r="K61" s="68" t="str">
        <x:v>Offen</x:v>
      </x:c>
    </x:row>
    <x:row r="62">
      <x:c r="A62" s="67" t="n">
        <x:v>58</x:v>
      </x:c>
      <x:c r="B62" s="62" t="str"/>
      <x:c r="C62" s="62" t="str"/>
      <x:c r="D62" s="62" t="str"/>
      <x:c r="E62" s="62" t="str"/>
      <x:c r="F62" s="62" t="str"/>
      <x:c r="G62" s="62" t="str"/>
      <x:c r="H62" s="62" t="str"/>
      <x:c r="I62" s="62" t="str"/>
      <x:c r="J62" s="62" t="str"/>
      <x:c r="K62" s="68" t="str">
        <x:v>Offen</x:v>
      </x:c>
    </x:row>
    <x:row r="63">
      <x:c r="A63" s="67" t="n">
        <x:v>59</x:v>
      </x:c>
      <x:c r="B63" s="62" t="str"/>
      <x:c r="C63" s="62" t="str"/>
      <x:c r="D63" s="62" t="str"/>
      <x:c r="E63" s="62" t="str"/>
      <x:c r="F63" s="62" t="str"/>
      <x:c r="G63" s="62" t="str"/>
      <x:c r="H63" s="62" t="str"/>
      <x:c r="I63" s="62" t="str"/>
      <x:c r="J63" s="62" t="str"/>
      <x:c r="K63" s="68" t="str">
        <x:v>Offen</x:v>
      </x:c>
    </x:row>
    <x:row r="64">
      <x:c r="A64" s="69" t="n">
        <x:v>60</x:v>
      </x:c>
      <x:c r="B64" s="70" t="str"/>
      <x:c r="C64" s="70" t="str"/>
      <x:c r="D64" s="70" t="str"/>
      <x:c r="E64" s="70" t="str"/>
      <x:c r="F64" s="70" t="str"/>
      <x:c r="G64" s="70" t="str"/>
      <x:c r="H64" s="70" t="str"/>
      <x:c r="I64" s="70" t="str"/>
      <x:c r="J64" s="70" t="str"/>
      <x:c r="K64" s="71" t="str">
        <x:v>Offen</x:v>
      </x:c>
    </x:row>
    <x:row r="65">
      <x:c r="A65" t="n">
        <x:v>61</x:v>
      </x:c>
      <x:c r="B65"/>
      <x:c r="C65"/>
      <x:c r="D65"/>
      <x:c r="E65"/>
      <x:c r="F65"/>
      <x:c r="G65"/>
      <x:c r="H65"/>
      <x:c r="I65"/>
      <x:c r="J65"/>
      <x:c r="K65" t="str">
        <x:v>Offen</x:v>
      </x:c>
    </x:row>
    <x:row r="66">
      <x:c r="A66" t="n">
        <x:v>62</x:v>
      </x:c>
      <x:c r="B66"/>
      <x:c r="C66"/>
      <x:c r="D66"/>
      <x:c r="E66"/>
      <x:c r="F66"/>
      <x:c r="G66"/>
      <x:c r="H66"/>
      <x:c r="I66"/>
      <x:c r="J66"/>
      <x:c r="K66" t="str">
        <x:v>Offen</x:v>
      </x:c>
    </x:row>
    <x:row r="67">
      <x:c r="A67" t="n">
        <x:v>63</x:v>
      </x:c>
      <x:c r="B67"/>
      <x:c r="C67"/>
      <x:c r="D67"/>
      <x:c r="E67"/>
      <x:c r="F67"/>
      <x:c r="G67"/>
      <x:c r="H67"/>
      <x:c r="I67"/>
      <x:c r="J67"/>
      <x:c r="K67" t="str">
        <x:v>Offen</x:v>
      </x:c>
    </x:row>
    <x:row r="68">
      <x:c r="A68" t="n">
        <x:v>64</x:v>
      </x:c>
      <x:c r="B68"/>
      <x:c r="C68"/>
      <x:c r="D68"/>
      <x:c r="E68"/>
      <x:c r="F68"/>
      <x:c r="G68"/>
      <x:c r="H68"/>
      <x:c r="I68"/>
      <x:c r="J68"/>
      <x:c r="K68" t="str">
        <x:v>Offen</x:v>
      </x:c>
    </x:row>
    <x:row r="69">
      <x:c r="A69" t="n">
        <x:v>65</x:v>
      </x:c>
      <x:c r="B69"/>
      <x:c r="C69"/>
      <x:c r="D69"/>
      <x:c r="E69"/>
      <x:c r="F69"/>
      <x:c r="G69"/>
      <x:c r="H69"/>
      <x:c r="I69"/>
      <x:c r="J69"/>
      <x:c r="K69" t="str">
        <x:v>Offen</x:v>
      </x:c>
    </x:row>
  </x:sheetData>
  <x:mergeCells>
    <x:mergeCell ref="A1:K1"/>
    <x:mergeCell ref="A2:K2"/>
  </x:mergeCells>
  <x:conditionalFormatting sqref="D5:D64">
    <x:cfRule type="expression" dxfId="6" priority="1">
      <x:formula>D5="Bug"</x:formula>
    </x:cfRule>
    <x:cfRule type="expression" dxfId="7" priority="2">
      <x:formula>D5="UX"</x:formula>
    </x:cfRule>
    <x:cfRule type="expression" dxfId="8" priority="3">
      <x:formula>D5="Wunsch"</x:formula>
    </x:cfRule>
    <x:cfRule type="expression" dxfId="9" priority="4">
      <x:formula>D5="Produktentscheidung"</x:formula>
    </x:cfRule>
  </x:conditionalFormatting>
  <x:conditionalFormatting sqref="E5:E64">
    <x:cfRule type="expression" dxfId="10" priority="5">
      <x:formula>E5="Hoch"</x:formula>
    </x:cfRule>
  </x:conditionalFormatting>
  <x:conditionalFormatting sqref="K5:K64">
    <x:cfRule type="expression" dxfId="11" priority="6">
      <x:formula>K5="Umgesetzt"</x:formula>
    </x:cfRule>
  </x:conditionalFormatting>
  <x:dataValidations count="5">
    <x:dataValidation type="list" sqref="D5:D64">
      <x:formula1>Auswahllisten!$C$2:$C$5</x:formula1>
    </x:dataValidation>
    <x:dataValidation type="list" sqref="E5:E64">
      <x:formula1>Auswahllisten!$D$2:$D$4</x:formula1>
    </x:dataValidation>
    <x:dataValidation type="list" sqref="I5:I64">
      <x:formula1>Auswahllisten!$E$2:$E$4</x:formula1>
    </x:dataValidation>
    <x:dataValidation type="list" sqref="K5:K64">
      <x:formula1>Auswahllisten!$F$2:$F$4</x:formula1>
    </x:dataValidation>
    <x:dataValidation type="list" sqref="C5:C64">
      <x:formula1>Auswahllisten!$G$2:$G$17</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s>
  <x:sheetData>
    <x:row r="1">
      <x:c r="A1" s="13" t="str">
        <x:v>Ergebnis</x:v>
      </x:c>
      <x:c r="B1" s="14" t="str">
        <x:v>Priorität</x:v>
      </x:c>
      <x:c r="C1" s="14" t="str">
        <x:v>Kategorie</x:v>
      </x:c>
      <x:c r="D1" s="14" t="str">
        <x:v>Schweregrad</x:v>
      </x:c>
      <x:c r="E1" s="14" t="str">
        <x:v>Reproduzierbar</x:v>
      </x:c>
      <x:c r="F1" s="15" t="str">
        <x:v>Status</x:v>
      </x:c>
      <x:c r="G1" t="str">
        <x:v>Bereich</x:v>
      </x:c>
    </x:row>
    <x:row r="2">
      <x:c r="A2" t="str">
        <x:v>Bestanden</x:v>
      </x:c>
      <x:c r="B2" t="str">
        <x:v>Muss</x:v>
      </x:c>
      <x:c r="C2" t="str">
        <x:v>Bug</x:v>
      </x:c>
      <x:c r="D2" t="str">
        <x:v>Hoch</x:v>
      </x:c>
      <x:c r="E2" t="str">
        <x:v>Ja</x:v>
      </x:c>
      <x:c r="F2" t="str">
        <x:v>Offen</x:v>
      </x:c>
      <x:c r="G2" t="str">
        <x:v>Dashboard</x:v>
      </x:c>
    </x:row>
    <x:row r="3">
      <x:c r="A3" t="str">
        <x:v>Teilweise</x:v>
      </x:c>
      <x:c r="B3" t="str">
        <x:v>Soll</x:v>
      </x:c>
      <x:c r="C3" t="str">
        <x:v>UX</x:v>
      </x:c>
      <x:c r="D3" t="str">
        <x:v>Mittel</x:v>
      </x:c>
      <x:c r="E3" t="str">
        <x:v>Nein</x:v>
      </x:c>
      <x:c r="F3" t="str">
        <x:v>Besprochen</x:v>
      </x:c>
      <x:c r="G3" t="str">
        <x:v>Beobachtungen</x:v>
      </x:c>
    </x:row>
    <x:row r="4">
      <x:c r="A4" t="str">
        <x:v>Nicht bestanden</x:v>
      </x:c>
      <x:c r="B4" t="str">
        <x:v>Optional</x:v>
      </x:c>
      <x:c r="C4" t="str">
        <x:v>Wunsch</x:v>
      </x:c>
      <x:c r="D4" t="str">
        <x:v>Niedrig</x:v>
      </x:c>
      <x:c r="E4" t="str">
        <x:v>Unklar</x:v>
      </x:c>
      <x:c r="F4" t="str">
        <x:v>Umgesetzt</x:v>
      </x:c>
      <x:c r="G4" t="str">
        <x:v>Schülerprofil – Profilkopf</x:v>
      </x:c>
    </x:row>
    <x:row r="5">
      <x:c r="C5" t="str">
        <x:v>Produktentscheidung</x:v>
      </x:c>
      <x:c r="G5" t="str">
        <x:v>Schülerprofil – Entwicklung</x:v>
      </x:c>
    </x:row>
    <x:row r="6">
      <x:c r="G6" t="str">
        <x:v>Schülerprofil – Kompetenzkarte</x:v>
      </x:c>
    </x:row>
    <x:row r="7">
      <x:c r="G7" t="str">
        <x:v>Schülerprofil – Nicht dokumentiert</x:v>
      </x:c>
    </x:row>
    <x:row r="8">
      <x:c r="G8" t="str">
        <x:v>Schülerprofil – Dokumente</x:v>
      </x:c>
    </x:row>
    <x:row r="9">
      <x:c r="G9" t="str">
        <x:v>Schülerprofil – Letzte Beobachtungen</x:v>
      </x:c>
    </x:row>
    <x:row r="10">
      <x:c r="G10" t="str">
        <x:v>Schülerprofil – Layout</x:v>
      </x:c>
    </x:row>
    <x:row r="11">
      <x:c r="G11" t="str">
        <x:v>Schülerprofil – Accessibility</x:v>
      </x:c>
    </x:row>
    <x:row r="12">
      <x:c r="G12" t="str">
        <x:v>Lernentwicklungsbericht</x:v>
      </x:c>
    </x:row>
    <x:row r="13">
      <x:c r="G13" t="str">
        <x:v>Bericht finalisieren</x:v>
      </x:c>
    </x:row>
    <x:row r="14">
      <x:c r="G14" t="str">
        <x:v>Lernentwicklungsgespräch</x:v>
      </x:c>
    </x:row>
    <x:row r="15">
      <x:c r="G15" t="str">
        <x:v>Stundenplan</x:v>
      </x:c>
    </x:row>
    <x:row r="16">
      <x:c r="G16" t="str">
        <x:v>Navigation</x:v>
      </x:c>
    </x:row>
    <x:row r="17">
      <x:c r="G17" t="str">
        <x:v>Allgemein</x:v>
      </x:c>
    </x:row>
  </x:sheetData>
  <x:pageMargins left="0.7" right="0.7" top="0.75" bottom="0.75" header="0.3" footer="0.3"/>
</x:worksheet>
</file>